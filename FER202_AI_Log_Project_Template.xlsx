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baitap\rbl-fer202-theotuan-team_7\"/>
    </mc:Choice>
  </mc:AlternateContent>
  <xr:revisionPtr revIDLastSave="0" documentId="13_ncr:1_{D35BD1BC-E207-4FD4-AD36-DD93654B547D}" xr6:coauthVersionLast="47" xr6:coauthVersionMax="47" xr10:uidLastSave="{00000000-0000-0000-0000-000000000000}"/>
  <bookViews>
    <workbookView xWindow="2892" yWindow="2892" windowWidth="12936" windowHeight="8880" tabRatio="500" firstSheet="2" activeTab="3" xr2:uid="{00000000-000D-0000-FFFF-FFFF00000000}"/>
  </bookViews>
  <sheets>
    <sheet name="Hướng dẫn" sheetId="1" r:id="rId1"/>
    <sheet name="Thông tin nhóm" sheetId="2" r:id="rId2"/>
    <sheet name="Week_01" sheetId="3" r:id="rId3"/>
    <sheet name="Week_02" sheetId="4" r:id="rId4"/>
    <sheet name="Week_03" sheetId="5" r:id="rId5"/>
    <sheet name="Week_04" sheetId="6" r:id="rId6"/>
    <sheet name="Week_05" sheetId="7" r:id="rId7"/>
    <sheet name="Week_06" sheetId="8" r:id="rId8"/>
    <sheet name="Week_07" sheetId="9" r:id="rId9"/>
    <sheet name="Week_08" sheetId="10" r:id="rId10"/>
    <sheet name="Week_09" sheetId="11" r:id="rId11"/>
    <sheet name="Week_10" sheetId="12" r:id="rId12"/>
    <sheet name="Summary" sheetId="13" r:id="rId13"/>
  </sheets>
  <externalReferences>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60" i="5" l="1"/>
  <c r="E61" i="5"/>
  <c r="E62" i="5"/>
  <c r="E63" i="5"/>
  <c r="E67" i="5"/>
  <c r="E68" i="5"/>
  <c r="E69" i="5"/>
  <c r="E70" i="5"/>
  <c r="E74" i="5"/>
  <c r="E75" i="5"/>
  <c r="E76" i="5"/>
  <c r="E77" i="5"/>
  <c r="E78" i="5"/>
  <c r="E81" i="5"/>
  <c r="E82" i="5"/>
  <c r="E83" i="5"/>
  <c r="E84" i="5"/>
  <c r="E85" i="5"/>
  <c r="E40" i="5"/>
  <c r="E41" i="5"/>
  <c r="E42" i="5"/>
  <c r="E43" i="5"/>
  <c r="E44" i="5"/>
  <c r="E45" i="5"/>
  <c r="E46" i="5"/>
  <c r="E47" i="5"/>
  <c r="E48" i="5"/>
  <c r="E49" i="5"/>
  <c r="E50" i="5"/>
  <c r="E51" i="5"/>
  <c r="I33" i="5"/>
  <c r="D33" i="5"/>
  <c r="G33" i="5"/>
  <c r="C29" i="5"/>
  <c r="D29" i="5"/>
  <c r="G29" i="5"/>
  <c r="I29" i="5"/>
  <c r="C30" i="5"/>
  <c r="D30" i="5"/>
  <c r="G30" i="5"/>
  <c r="I30" i="5"/>
  <c r="I25" i="5"/>
  <c r="G26" i="5"/>
  <c r="C25" i="5"/>
  <c r="D25" i="5"/>
  <c r="G25" i="5"/>
  <c r="C26" i="5"/>
  <c r="D26" i="5"/>
  <c r="I26" i="5"/>
  <c r="C21" i="5"/>
  <c r="D21" i="5"/>
  <c r="G21" i="5"/>
  <c r="I21" i="5"/>
  <c r="C22" i="5"/>
  <c r="D22" i="5"/>
  <c r="G22" i="5"/>
  <c r="I22" i="5"/>
  <c r="C23" i="5"/>
  <c r="D23" i="5"/>
  <c r="G23" i="5"/>
  <c r="I23" i="5"/>
  <c r="B8" i="5"/>
  <c r="C8" i="5"/>
  <c r="D8" i="5"/>
  <c r="E8" i="5"/>
  <c r="F8" i="5"/>
  <c r="G8" i="5"/>
  <c r="H8" i="5"/>
  <c r="I8" i="5"/>
  <c r="B9" i="5"/>
  <c r="C9" i="5"/>
  <c r="D9" i="5"/>
  <c r="E9" i="5"/>
  <c r="F9" i="5"/>
  <c r="G9" i="5"/>
  <c r="H9" i="5"/>
  <c r="I9" i="5"/>
  <c r="B10" i="5"/>
  <c r="C10" i="5"/>
  <c r="D10" i="5"/>
  <c r="E10" i="5"/>
  <c r="F10" i="5"/>
  <c r="G10" i="5"/>
  <c r="H10" i="5"/>
  <c r="I10" i="5"/>
  <c r="B11" i="5"/>
  <c r="C11" i="5"/>
  <c r="D11" i="5"/>
  <c r="E11" i="5"/>
  <c r="F11" i="5"/>
  <c r="G11" i="5"/>
  <c r="H11" i="5"/>
  <c r="I11" i="5"/>
  <c r="E81" i="4"/>
  <c r="E82" i="4"/>
  <c r="E83" i="4"/>
  <c r="E84" i="4"/>
  <c r="E85" i="4"/>
  <c r="E74" i="4"/>
  <c r="E75" i="4"/>
  <c r="E76" i="4"/>
  <c r="E77" i="4"/>
  <c r="E78" i="4"/>
  <c r="E67" i="4"/>
  <c r="E68" i="4"/>
  <c r="E69" i="4"/>
  <c r="E70" i="4"/>
  <c r="E71" i="4"/>
  <c r="E60" i="4"/>
  <c r="E61" i="4"/>
  <c r="E62" i="4"/>
  <c r="E63" i="4"/>
  <c r="E64" i="4"/>
  <c r="E40" i="4"/>
  <c r="E41" i="4"/>
  <c r="E42" i="4"/>
  <c r="E43" i="4"/>
  <c r="E44" i="4"/>
  <c r="E45" i="4"/>
  <c r="E46" i="4"/>
  <c r="E47" i="4"/>
  <c r="E48" i="4"/>
  <c r="E49" i="4"/>
  <c r="E50" i="4"/>
  <c r="E51" i="4"/>
  <c r="E52" i="4"/>
  <c r="E53" i="4"/>
  <c r="E54" i="4"/>
  <c r="E55" i="4"/>
  <c r="C33" i="4"/>
  <c r="G33" i="4"/>
  <c r="C29" i="4"/>
  <c r="G29" i="4"/>
  <c r="I29" i="4"/>
  <c r="C30" i="4"/>
  <c r="G30" i="4"/>
  <c r="I30" i="4"/>
  <c r="D25" i="4"/>
  <c r="C25" i="4"/>
  <c r="G25" i="4"/>
  <c r="I25" i="4"/>
  <c r="C26" i="4"/>
  <c r="D26" i="4"/>
  <c r="G26" i="4"/>
  <c r="I26" i="4"/>
  <c r="C27" i="4"/>
  <c r="D27" i="4"/>
  <c r="G27" i="4"/>
  <c r="I27" i="4"/>
  <c r="C21" i="4"/>
  <c r="D21" i="4"/>
  <c r="G21" i="4"/>
  <c r="I21" i="4"/>
  <c r="C22" i="4"/>
  <c r="G22" i="4"/>
  <c r="I22" i="4"/>
  <c r="C23" i="4"/>
  <c r="D23" i="4"/>
  <c r="G23" i="4"/>
  <c r="I23" i="4"/>
  <c r="B8" i="4"/>
  <c r="C8" i="4"/>
  <c r="D8" i="4"/>
  <c r="E8" i="4"/>
  <c r="F8" i="4"/>
  <c r="G8" i="4"/>
  <c r="I7" i="13" s="1"/>
  <c r="H8" i="4"/>
  <c r="I8" i="4"/>
  <c r="B9" i="4"/>
  <c r="C9" i="4"/>
  <c r="D9" i="4"/>
  <c r="E9" i="4"/>
  <c r="F9" i="4"/>
  <c r="G9" i="4"/>
  <c r="H9" i="4"/>
  <c r="I9" i="4"/>
  <c r="B10" i="4"/>
  <c r="C10" i="4"/>
  <c r="G7" i="13" s="1"/>
  <c r="D10" i="4"/>
  <c r="E10" i="4"/>
  <c r="F10" i="4"/>
  <c r="G10" i="4"/>
  <c r="H10" i="4"/>
  <c r="I10" i="4"/>
  <c r="B11" i="4"/>
  <c r="C11" i="4"/>
  <c r="D11" i="4"/>
  <c r="E11" i="4"/>
  <c r="F11" i="4"/>
  <c r="G11" i="4"/>
  <c r="H11" i="4"/>
  <c r="I11" i="4"/>
  <c r="B12" i="4"/>
  <c r="C12" i="4"/>
  <c r="D12" i="4"/>
  <c r="E12" i="4"/>
  <c r="F12" i="4"/>
  <c r="G12" i="4"/>
  <c r="H12" i="4"/>
  <c r="I12" i="4"/>
  <c r="E40" i="3"/>
  <c r="E41" i="3"/>
  <c r="E42" i="3"/>
  <c r="E43" i="3"/>
  <c r="E44" i="3"/>
  <c r="E45" i="3"/>
  <c r="E46" i="3"/>
  <c r="E47" i="3"/>
  <c r="E48" i="3"/>
  <c r="E49" i="3"/>
  <c r="E50" i="3"/>
  <c r="E51" i="3"/>
  <c r="E52" i="3"/>
  <c r="E53" i="3"/>
  <c r="E54" i="3"/>
  <c r="E55" i="3"/>
  <c r="E81" i="3"/>
  <c r="E82" i="3"/>
  <c r="E83" i="3"/>
  <c r="E84" i="3"/>
  <c r="E85" i="3"/>
  <c r="E74" i="3"/>
  <c r="E75" i="3"/>
  <c r="E76" i="3"/>
  <c r="E77" i="3"/>
  <c r="E78" i="3"/>
  <c r="E67" i="3"/>
  <c r="E68" i="3"/>
  <c r="E69" i="3"/>
  <c r="E70" i="3"/>
  <c r="E71" i="3"/>
  <c r="E60" i="3"/>
  <c r="E61" i="3"/>
  <c r="E62" i="3"/>
  <c r="E63" i="3"/>
  <c r="E64" i="3"/>
  <c r="K15" i="13"/>
  <c r="J15" i="13"/>
  <c r="I15" i="13"/>
  <c r="G15" i="13"/>
  <c r="F15" i="13"/>
  <c r="E15" i="13"/>
  <c r="D15" i="13"/>
  <c r="C15" i="13"/>
  <c r="H15" i="13" s="1"/>
  <c r="K14" i="13"/>
  <c r="J14" i="13"/>
  <c r="I14" i="13"/>
  <c r="G14" i="13"/>
  <c r="F14" i="13"/>
  <c r="E14" i="13"/>
  <c r="D14" i="13"/>
  <c r="C14" i="13"/>
  <c r="H14" i="13" s="1"/>
  <c r="K13" i="13"/>
  <c r="J13" i="13"/>
  <c r="I13" i="13"/>
  <c r="G13" i="13"/>
  <c r="F13" i="13"/>
  <c r="E13" i="13"/>
  <c r="D13" i="13"/>
  <c r="H13" i="13" s="1"/>
  <c r="C13" i="13"/>
  <c r="K12" i="13"/>
  <c r="J12" i="13"/>
  <c r="I12" i="13"/>
  <c r="G12" i="13"/>
  <c r="F12" i="13"/>
  <c r="E12" i="13"/>
  <c r="H12" i="13" s="1"/>
  <c r="D12" i="13"/>
  <c r="C12" i="13"/>
  <c r="K11" i="13"/>
  <c r="J11" i="13"/>
  <c r="I11" i="13"/>
  <c r="G11" i="13"/>
  <c r="F11" i="13"/>
  <c r="H11" i="13" s="1"/>
  <c r="E11" i="13"/>
  <c r="D11" i="13"/>
  <c r="C11" i="13"/>
  <c r="K10" i="13"/>
  <c r="J10" i="13"/>
  <c r="I10" i="13"/>
  <c r="G10" i="13"/>
  <c r="H10" i="13" s="1"/>
  <c r="F10" i="13"/>
  <c r="E10" i="13"/>
  <c r="D10" i="13"/>
  <c r="C10" i="13"/>
  <c r="K9" i="13"/>
  <c r="J9" i="13"/>
  <c r="I9" i="13"/>
  <c r="H9" i="13"/>
  <c r="G9" i="13"/>
  <c r="F9" i="13"/>
  <c r="E9" i="13"/>
  <c r="D9" i="13"/>
  <c r="C9" i="13"/>
  <c r="K6" i="13"/>
  <c r="J6" i="13"/>
  <c r="I6" i="13"/>
  <c r="G6" i="13"/>
  <c r="F6" i="13"/>
  <c r="E6" i="13"/>
  <c r="D6" i="13"/>
  <c r="C6" i="13"/>
  <c r="J8" i="13" l="1"/>
  <c r="J7" i="13"/>
  <c r="K7" i="13"/>
  <c r="K16" i="13" s="1"/>
  <c r="F7" i="13"/>
  <c r="C8" i="13"/>
  <c r="I8" i="13"/>
  <c r="I16" i="13" s="1"/>
  <c r="K8" i="13"/>
  <c r="D8" i="13"/>
  <c r="F8" i="13"/>
  <c r="F16" i="13" s="1"/>
  <c r="E8" i="13"/>
  <c r="G8" i="13"/>
  <c r="G16" i="13" s="1"/>
  <c r="C7" i="13"/>
  <c r="J16" i="13"/>
  <c r="D7" i="13"/>
  <c r="E7" i="13"/>
  <c r="H6" i="13"/>
  <c r="H8" i="13" l="1"/>
  <c r="H16" i="13" s="1"/>
  <c r="D16" i="13"/>
  <c r="E16" i="13"/>
  <c r="H7" i="13"/>
  <c r="C16" i="13"/>
</calcChain>
</file>

<file path=xl/sharedStrings.xml><?xml version="1.0" encoding="utf-8"?>
<sst xmlns="http://schemas.openxmlformats.org/spreadsheetml/2006/main" count="1167" uniqueCount="235">
  <si>
    <t>FER202 — AI Log Template  |  Project Nhóm</t>
  </si>
  <si>
    <t>Hướng dẫn sử dụng  |  FPT University</t>
  </si>
  <si>
    <t>📌  MỤC ĐÍCH</t>
  </si>
  <si>
    <t>File này dùng để gì?</t>
  </si>
  <si>
    <t>Ghi lại nhật ký sử dụng AI của nhóm trong suốt project môn FER202 — theo từng tuần.</t>
  </si>
  <si>
    <t>Ai điền?</t>
  </si>
  <si>
    <t>Mỗi thành viên tự điền phần của mình vào các bảng của tuần tương ứng. Trưởng nhóm tổng hợp và upload.</t>
  </si>
  <si>
    <t>Nộp khi nào?</t>
  </si>
  <si>
    <t>Cuối mỗi tuần (hoặc theo deadline giảng viên). Một file duy nhất cho cả học kỳ.</t>
  </si>
  <si>
    <t>📁  CÁC SHEET TRONG FILE</t>
  </si>
  <si>
    <t>Thông tin nhóm</t>
  </si>
  <si>
    <t>Điền 1 lần đầu học kỳ: tên nhóm, MSSV, phân công, mô tả project.</t>
  </si>
  <si>
    <t>Week_01 → Week_10</t>
  </si>
  <si>
    <t>Mỗi tuần có 4 bảng: AI_Audit_Log, Changelog, Prompts, Reflection.</t>
  </si>
  <si>
    <t>Summary</t>
  </si>
  <si>
    <t>Tổng hợp tự động (công thức) số lần dùng AI, mức hỗ trợ theo từng tuần/thành viên.</t>
  </si>
  <si>
    <t>📝  4 BẢNG TRONG MỖI TUẦN</t>
  </si>
  <si>
    <t>BẢNG 1 — AI_AUDIT_LOG</t>
  </si>
  <si>
    <t>Ghi mỗi lần dùng AI: ngày, ai dùng, tool, mục đích, mức hỗ trợ, đã chỉnh sửa gì, kiểm chứng.</t>
  </si>
  <si>
    <t>BẢNG 2 — CHANGELOG</t>
  </si>
  <si>
    <t>Ghi thay đổi project trong tuần (Added / Changed / Fixed / Removed). Không bắt buộc gắn với AI.</t>
  </si>
  <si>
    <t>BẢNG 3 — PROMPTS</t>
  </si>
  <si>
    <t>Ghi chi tiết từng prompt quan trọng đã dùng: nội dung, kết quả AI trả về, cách nhóm sử dụng/chỉnh sửa.</t>
  </si>
  <si>
    <t>BẢNG 4 — REFLECTION</t>
  </si>
  <si>
    <t>Mỗi thành viên viết 1 block suy ngẫm cá nhân cuối tuần (đã làm gì, AI hỗ trợ ra sao, điểm chưa tốt).</t>
  </si>
  <si>
    <t>✅  QUY ƯỚC</t>
  </si>
  <si>
    <t>Cột TV</t>
  </si>
  <si>
    <t>Dùng ký hiệu A / B / C / D / E (khớp với bảng Thông tin nhóm).</t>
  </si>
  <si>
    <t>Mức hỗ trợ AI</t>
  </si>
  <si>
    <t>Low = AI gợi ý nhỏ  |  Medium = AI đóng góp đáng kể  |  High = AI tạo phần lớn nội dung</t>
  </si>
  <si>
    <t>Loại Changelog</t>
  </si>
  <si>
    <t>Added = thêm mới  |  Changed = cải tiến  |  Fixed = sửa lỗi  |  Removed = xóa bỏ</t>
  </si>
  <si>
    <t>(*) bắt buộc</t>
  </si>
  <si>
    <t>Các cột đánh dấu (*) là bắt buộc phải điền.</t>
  </si>
  <si>
    <t>THÔNG TIN NHÓM — FER202</t>
  </si>
  <si>
    <t>📋  Thông tin lớp</t>
  </si>
  <si>
    <t>Mã lớp học</t>
  </si>
  <si>
    <t>Giảng viên</t>
  </si>
  <si>
    <t>Lê Thị Bích Tra  —  traltb@fe.edu.vn</t>
  </si>
  <si>
    <t>Học kỳ / Năm học</t>
  </si>
  <si>
    <t>SU26</t>
  </si>
  <si>
    <t>Tên nhóm</t>
  </si>
  <si>
    <t>Số thành viên</t>
  </si>
  <si>
    <t>👥  Danh sách thành viên</t>
  </si>
  <si>
    <t>Ký hiệu (*)</t>
  </si>
  <si>
    <t>Họ và tên (*)</t>
  </si>
  <si>
    <t>MSSV (*)</t>
  </si>
  <si>
    <t>Vai trò</t>
  </si>
  <si>
    <t>Ghi chú</t>
  </si>
  <si>
    <t>A</t>
  </si>
  <si>
    <t>Trưởng nhóm</t>
  </si>
  <si>
    <t>B</t>
  </si>
  <si>
    <t>Thành viên</t>
  </si>
  <si>
    <t>C</t>
  </si>
  <si>
    <t>D</t>
  </si>
  <si>
    <t>E</t>
  </si>
  <si>
    <t>💡  Mô tả dự án</t>
  </si>
  <si>
    <t>Tên hệ thống</t>
  </si>
  <si>
    <t>Mô tả ngắn</t>
  </si>
  <si>
    <t>Công nghệ sử dụng</t>
  </si>
  <si>
    <t>Link repo (GitHub/GitLab)</t>
  </si>
  <si>
    <t>Link Jira</t>
  </si>
  <si>
    <t>Link demo</t>
  </si>
  <si>
    <t>WEEK 01 — Nhật ký AI &amp; Project</t>
  </si>
  <si>
    <t>Mỗi thành viên dùng ký hiệu A/B/C/D/E ở cột TV.  Cột (*) bắt buộc điền.  Lưu file sau khi điền xong.</t>
  </si>
  <si>
    <t>📋  BẢNG 1: Nhật ký sử dụng AI  (AI_AUDIT_LOG)</t>
  </si>
  <si>
    <t>Ghi mỗi lần dùng AI vào 1 dòng.  Mức hỗ trợ: Low = AI gợi ý nhỏ  |  Medium = AI đóng góp nhiều  |  High = AI tạo phần lớn</t>
  </si>
  <si>
    <t>Ngày (*)</t>
  </si>
  <si>
    <t>TV (*)</t>
  </si>
  <si>
    <t>Công cụ AI (*)</t>
  </si>
  <si>
    <t>Mục đích sử dụng (*)</t>
  </si>
  <si>
    <t>File ảnh hưởng</t>
  </si>
  <si>
    <t>Mức hỗ trợ (*)</t>
  </si>
  <si>
    <t>Đã chỉnh sửa gì?</t>
  </si>
  <si>
    <t>Kiểm chứng</t>
  </si>
  <si>
    <t>📝  BẢNG 2: Nhật ký thay đổi project  (CHANGELOG)</t>
  </si>
  <si>
    <t>Loại (*)</t>
  </si>
  <si>
    <t>Mô tả thay đổi (*)</t>
  </si>
  <si>
    <t>File liên quan</t>
  </si>
  <si>
    <t>Added — Thêm mới</t>
  </si>
  <si>
    <t>Changed — Cải tiến</t>
  </si>
  <si>
    <t>Fixed — Sửa lỗi</t>
  </si>
  <si>
    <t>Removed — Xóa bỏ</t>
  </si>
  <si>
    <t>💡  BẢNG 3: Nhật ký Prompt AI  (PROMPTS)</t>
  </si>
  <si>
    <t>Mỗi prompt quan trọng ghi 1 block gồm 4 dòng. Ghi rõ prompt đã dùng, kết quả, cách nhóm sử dụng, và kiểm chứng.</t>
  </si>
  <si>
    <t>Prompt #</t>
  </si>
  <si>
    <t>TV</t>
  </si>
  <si>
    <t>Công cụ AI</t>
  </si>
  <si>
    <t>Prompt đã dùng (nguyên văn) (*)</t>
  </si>
  <si>
    <t>Prompt #1</t>
  </si>
  <si>
    <t>Kết quả AI trả về và vấn đề gặp phải:</t>
  </si>
  <si>
    <t>Nhóm đã chỉnh sửa / sử dụng như thế nào:</t>
  </si>
  <si>
    <t>Kiểm chứng (test pass/fail, kết quả đúng không):</t>
  </si>
  <si>
    <t>Prompt #2</t>
  </si>
  <si>
    <t>Prompt #3</t>
  </si>
  <si>
    <t>Prompt #4</t>
  </si>
  <si>
    <t>🪞  BẢNG 4: Suy ngẫm cuối tuần  (REFLECTION)</t>
  </si>
  <si>
    <t>Mỗi thành viên điền 1 block riêng. Mục 'AI sai/thiếu' bắt buộc ≥ 2 ví dụ cụ thể. Viết thành câu đầy đủ.</t>
  </si>
  <si>
    <t>Thành viên A — Trưởng nhóm</t>
  </si>
  <si>
    <t>Đã làm gì trong tuần này? (*)</t>
  </si>
  <si>
    <t>💬 Liệt kê cụ thể: tính năng, test case, module, file...</t>
  </si>
  <si>
    <t>AI đã hỗ trợ như thế nào?</t>
  </si>
  <si>
    <t>💬 Tóm tắt cách dùng AI: tool nào, việc gì, hiệu quả ra sao</t>
  </si>
  <si>
    <t>AI sai hoặc thiếu ở đâu? (*)</t>
  </si>
  <si>
    <t>💬 ⚠️ Bắt buộc ≥ 2 ví dụ cụ thể về điểm AI chưa đúng/đủ</t>
  </si>
  <si>
    <t>Khó khăn gặp phải</t>
  </si>
  <si>
    <t>💬 Kỹ thuật, nhóm, công cụ, môi trường...</t>
  </si>
  <si>
    <t>Nếu làm lại, sẽ cải thiện điều gì?</t>
  </si>
  <si>
    <t>💬 Quy trình, cách dùng AI, phân công nhóm...</t>
  </si>
  <si>
    <t>Thành viên B — Thành viên</t>
  </si>
  <si>
    <t>Thành viên C — Thành viên</t>
  </si>
  <si>
    <t>Thành viên D — Thành viên</t>
  </si>
  <si>
    <t>Thành viên E — Thành viên</t>
  </si>
  <si>
    <t>FER202  |  Week 01  |  FPT University — Điền xong nhớ Ctrl+S để lưu!</t>
  </si>
  <si>
    <t>FER202  |  Week 02  |  FPT University — Điền xong nhớ Ctrl+S để lưu!</t>
  </si>
  <si>
    <t>FER202  |  Week 03  |  FPT University — Điền xong nhớ Ctrl+S để lưu!</t>
  </si>
  <si>
    <t>FER202  |  Week 04  |  FPT University — Điền xong nhớ Ctrl+S để lưu!</t>
  </si>
  <si>
    <t>FER202  |  Week 05  |  FPT University — Điền xong nhớ Ctrl+S để lưu!</t>
  </si>
  <si>
    <t>FER202  |  Week 06  |  FPT University — Điền xong nhớ Ctrl+S để lưu!</t>
  </si>
  <si>
    <t>FER202  |  Week 07  |  FPT University — Điền xong nhớ Ctrl+S để lưu!</t>
  </si>
  <si>
    <t>FER202  |  Week 08  |  FPT University — Điền xong nhớ Ctrl+S để lưu!</t>
  </si>
  <si>
    <t>FER202  |  Week 09  |  FPT University — Điền xong nhớ Ctrl+S để lưu!</t>
  </si>
  <si>
    <t>FER202  |  Week 10  |  FPT University — Điền xong nhớ Ctrl+S để lưu!</t>
  </si>
  <si>
    <t>SUMMARY — Tổng hợp cả học kỳ</t>
  </si>
  <si>
    <t>📊  Tổng số lần dùng AI theo tuần &amp; thành viên (tự động đếm từ các sheet Week)</t>
  </si>
  <si>
    <t>Tuần</t>
  </si>
  <si>
    <t>TV-A</t>
  </si>
  <si>
    <t>TV-B</t>
  </si>
  <si>
    <t>TV-C</t>
  </si>
  <si>
    <t>TV-D</t>
  </si>
  <si>
    <t>TV-E</t>
  </si>
  <si>
    <t>Tổng</t>
  </si>
  <si>
    <t>Low</t>
  </si>
  <si>
    <t>Medium</t>
  </si>
  <si>
    <t>High</t>
  </si>
  <si>
    <t>Week 01</t>
  </si>
  <si>
    <t>Week 02</t>
  </si>
  <si>
    <t>Week 03</t>
  </si>
  <si>
    <t>Week 04</t>
  </si>
  <si>
    <t>Week 05</t>
  </si>
  <si>
    <t>Week 06</t>
  </si>
  <si>
    <t>Week 07</t>
  </si>
  <si>
    <t>Week 08</t>
  </si>
  <si>
    <t>Week 09</t>
  </si>
  <si>
    <t>Week 10</t>
  </si>
  <si>
    <t>TỔNG</t>
  </si>
  <si>
    <t>📝  Nhận xét tổng kết học kỳ của nhóm</t>
  </si>
  <si>
    <t>Công cụ AI nhóm dùng nhiều nhất:</t>
  </si>
  <si>
    <t>Tuần sử dụng AI hiệu quả nhất và lý do:</t>
  </si>
  <si>
    <t>Điểm hạn chế / rủi ro khi dùng AI trong project:</t>
  </si>
  <si>
    <t>Bài học lớn nhất từ việc dùng AI trong học kỳ này:</t>
  </si>
  <si>
    <t>Email (*)</t>
  </si>
  <si>
    <t>FER202_SE20A07</t>
  </si>
  <si>
    <t>Group 3</t>
  </si>
  <si>
    <t>Trần Minh Huy</t>
  </si>
  <si>
    <t>Đặng Thị Mỹ Hương</t>
  </si>
  <si>
    <t>Đặng Quang Phú</t>
  </si>
  <si>
    <t>Đoàn Ngọc Huy</t>
  </si>
  <si>
    <t>Ngô Văn Tuyên</t>
  </si>
  <si>
    <t>DE190315</t>
  </si>
  <si>
    <t>DE190333</t>
  </si>
  <si>
    <t>DE190951</t>
  </si>
  <si>
    <t>DE190581</t>
  </si>
  <si>
    <t>tranminhhuy93405@gmail.com</t>
  </si>
  <si>
    <t>huongdathmy061422@gmail.com</t>
  </si>
  <si>
    <t>quagphu159@gmail.com</t>
  </si>
  <si>
    <t>huydoan123wp@gmail.com</t>
  </si>
  <si>
    <t>Phurai Restaurant Management System</t>
  </si>
  <si>
    <t>Phần mềm quản lý cho một nhà hàng</t>
  </si>
  <si>
    <t>Spring Boot (backend) + React (frontend) + MySQL</t>
  </si>
  <si>
    <t>https://github.com/DangQuangPhu/SWP391-GROUP-3-RESTAURANT-MANAGEMENT-SYSTEM.git</t>
  </si>
  <si>
    <t>https://project-course-team5.atlassian.net/jira/software/projects/SCRUM/boards/1</t>
  </si>
  <si>
    <t>05/05/2026</t>
  </si>
  <si>
    <t>ChatGPT-4o</t>
  </si>
  <si>
    <t>Tối ưu luồng Customer (đặt bàn, VIP, order, thanh toán)</t>
  </si>
  <si>
    <t>Restaurant_Management.docx</t>
  </si>
  <si>
    <t>Gộp đặt bàn, khu vực VIP, order; đổi thanh toán mock sang thanh toán thật</t>
  </si>
  <si>
    <t>Review luồng nghiệp vụ</t>
  </si>
  <si>
    <t>06/05/2026</t>
  </si>
  <si>
    <t>GitHub Copilot</t>
  </si>
  <si>
    <t>Hợp nhất vai trò Lễ tân và Thu ngân</t>
  </si>
  <si>
    <t>Gộp 2 vai trò Lễ tân và Thu ngân thành 1</t>
  </si>
  <si>
    <t>Review phân quyền</t>
  </si>
  <si>
    <t>07/05/2026</t>
  </si>
  <si>
    <t>Tinh chỉnh quyền Admin</t>
  </si>
  <si>
    <t>Bỏ quyền CRUD toàn hệ thống</t>
  </si>
  <si>
    <t>Kiểm tra quyền truy cập</t>
  </si>
  <si>
    <t>08/05/2026</t>
  </si>
  <si>
    <t>Claude</t>
  </si>
  <si>
    <t>Tối ưu hóa chức năng quản lý doanh thu</t>
  </si>
  <si>
    <t>Gộp doanh thu và thống kê lại thành 1</t>
  </si>
  <si>
    <t>Review báo cáo</t>
  </si>
  <si>
    <t>09/05/2026</t>
  </si>
  <si>
    <t>Hợp nhất vai trò Waiter và Staff</t>
  </si>
  <si>
    <t>Gộp Waiter và Staff; bỏ case order tại bàn nếu đã đặt qua app/QR; bỏ cập nhật trạng thái bàn</t>
  </si>
  <si>
    <t>DE190108</t>
  </si>
  <si>
    <t>Tạo SRS_Analysis.xlsx: 3 sheet FR_List/NFR_List/SRS_Errors</t>
  </si>
  <si>
    <t>SRS_Analysis.xlsx</t>
  </si>
  <si>
    <t>Template tự thiết kế</t>
  </si>
  <si>
    <t>Tạo AcceptanceCriteria.md với 5 user story, mỗi US ≥ 2 scenario GWT</t>
  </si>
  <si>
    <t>AcceptanceCriteria.md</t>
  </si>
  <si>
    <t>Format BDD Gherkin</t>
  </si>
  <si>
    <t>Viết V-Model mapping cho dự án quản lý hoạt động nhà hàng</t>
  </si>
  <si>
    <t>Notes_Week1.md</t>
  </si>
  <si>
    <t>Dùng cho Test Strategy</t>
  </si>
  <si>
    <t>ngovantuyen5205@gmail.com</t>
  </si>
  <si>
    <t>Cập nhật FR-03: “đặt bàn tối đa 20 khách” → “theo sức chứa từng bàn/khu VIP”</t>
  </si>
  <si>
    <t>Bổ sung cột Testability vào bảng phân tích NFR</t>
  </si>
  <si>
    <t>Chỉnh AC US-02 Đăng nhập: thêm case tài khoản chưa verify email</t>
  </si>
  <si>
    <t>Bổ sung edge case</t>
  </si>
  <si>
    <t>Sửa AC US-01: thiếu scenario email đã tồn tại</t>
  </si>
  <si>
    <t>Phát hiện khi review chéo</t>
  </si>
  <si>
    <t>Sửa NFR-04 từ “&lt;500ms” → “≤500ms P95 cho API menu/availability”</t>
  </si>
  <si>
    <t>Đúng tiêu chí đo được</t>
  </si>
  <si>
    <t>Xóa yêu cầu “nhân viên tự duyệt refund không cần manager” vì trái business rule</t>
  </si>
  <si>
    <t>Refund cần Manager approve</t>
  </si>
  <si>
    <t>Xóa các chức năng ngoài scope như loyalty point, delivery tracking và multi-branch management khỏi bản phân tích tuần này</t>
  </si>
  <si>
    <t>Sửa quan hệ giữa Orders, Order_Items, Dishes, Bills và Payments để đúng nghiệp vụ gọi món và thanh toán</t>
  </si>
  <si>
    <t>Sửa lỗi UI trang Catering bị quá nhiều text, chia lại section và thêm spacing cho dễ nhìn</t>
  </si>
  <si>
    <t>Tạo UI trang Take Out gồm danh sách món, nút order, phần combo, thông tin nhận món và CTA đặt hàng</t>
  </si>
  <si>
    <t>Tham gia chỉnh sửa tài liệu SRS, cập nhật các yêu cầu phi chức năng (NFR) cho API menu reliability và cùng nhóm kiểm chứng các tài liệu thiết kế.</t>
  </si>
  <si>
    <t>AI hỗ trợ rà soát lỗi trong tài liệu SRS, đưa ra các gợi ý tối ưu hóa cho các tiêu chuẩn kiểm thử (Test Strategy).</t>
  </si>
  <si>
    <t>Đôi khi AI hiểu sai ngữ cảnh nghiệp vụ đặc thù của nhà hàng, cần điều chỉnh lại các ràng buộc kỹ thuật.</t>
  </si>
  <si>
    <t>Đồng bộ hóa hiểu biết giữa các thành viên về các thay đổi trong tài liệu SRS khi có nhiều cập nhật liên tục.</t>
  </si>
  <si>
    <t>Sẽ xây dựng quy trình quản lý phiên bản tài liệu (version control) chặt chẽ hơn ngay từ đầu tuần để tránh nhầm lẫn.</t>
  </si>
  <si>
    <t>Hỗ trợ xây dựng sơ đồ ERD (Entity Relationship Diagram) cho cơ sở dữ liệu hệ thống, phối hợp kiểm chứng các màn hình UI của trang Take Out và Catering.</t>
  </si>
  <si>
    <t>Claude và ChatGPT hỗ trợ gợi ý các mối quan hệ giữa các thực thể (Users, Orders, Items, Payments) trong cơ sở dữ liệu.</t>
  </si>
  <si>
    <t>AI đôi khi đề xuất các mối quan hệ bảng quá phức tạp hoặc chưa tối ưu hóa cho truy vấn thực tế, cần điều chỉnh thủ công.</t>
  </si>
  <si>
    <t>Tham gia rà soát lại cấu trúc cơ sở dữ liệu (Database Schema), hỗ trợ thiết lập các chỉ mục (indexes) để tối ưu hóa truy vấn cho module Đặt bàn và Bếp.</t>
  </si>
  <si>
    <t>AI hỗ trợ phân tích các truy vấn SQL chậm và gợi ý cách đánh index hợp lý, đồng thời giúp kiểm tra ràng buộc khóa ngoại (foreign key) giữa các bảng.</t>
  </si>
  <si>
    <t>Đôi khi AI tạo ra các câu lệnh index dư thừa, không cần thiết cho các bảng có dữ liệu ít, cần kiểm soát lại.</t>
  </si>
  <si>
    <t>Việc đồng bộ dữ liệu giữa các module khi có thay đổi trong schema của Thành viên A gây ra một số xung đột nhỏ trong mã nguồn.</t>
  </si>
  <si>
    <t>Sẽ lập tài liệu quản lý thay đổi schema (schema change log) chặt chẽ hơn để mọi thành viên đều nắm rõ và cập nhật kịp thời.</t>
  </si>
  <si>
    <t>Gặp khó khăn trong việc đồng bộ hóa dữ liệu giữa các module Reservation và Kitchen/Order.</t>
  </si>
  <si>
    <t>Sẽ xây dựng sơ đồ ERD (Entity Relationship Diagram) chi tiết hơn trước khi bắt đầu viết code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</si>
</sst>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1"/>
    </font>
    <font>
      <b/>
      <sz val="16"/>
      <color rgb="FFFFFFFF"/>
      <name val="Arial"/>
      <charset val="1"/>
    </font>
    <font>
      <i/>
      <sz val="11"/>
      <color rgb="FFFFFFFF"/>
      <name val="Arial"/>
      <charset val="1"/>
    </font>
    <font>
      <b/>
      <sz val="11"/>
      <color rgb="FFFFFFFF"/>
      <name val="Arial"/>
      <charset val="1"/>
    </font>
    <font>
      <sz val="10"/>
      <color rgb="FF000000"/>
      <name val="Arial"/>
      <charset val="1"/>
    </font>
    <font>
      <b/>
      <sz val="15"/>
      <color rgb="FFFFFFFF"/>
      <name val="Arial"/>
      <charset val="1"/>
    </font>
    <font>
      <b/>
      <sz val="10"/>
      <color rgb="FF000000"/>
      <name val="Arial"/>
      <charset val="1"/>
    </font>
    <font>
      <b/>
      <sz val="14"/>
      <color rgb="FFFFFFFF"/>
      <name val="Arial"/>
      <charset val="1"/>
    </font>
    <font>
      <i/>
      <sz val="9"/>
      <color rgb="FF808080"/>
      <name val="Arial"/>
      <charset val="1"/>
    </font>
    <font>
      <b/>
      <i/>
      <sz val="10"/>
      <color rgb="FF000000"/>
      <name val="Arial"/>
      <charset val="1"/>
    </font>
    <font>
      <i/>
      <sz val="9"/>
      <color rgb="FFFFFFFF"/>
      <name val="Arial"/>
      <charset val="1"/>
    </font>
    <font>
      <b/>
      <sz val="10"/>
      <color rgb="FF000000"/>
      <name val="Arial"/>
      <family val="2"/>
      <charset val="1"/>
    </font>
    <font>
      <b/>
      <sz val="10"/>
      <color rgb="FF000000"/>
      <name val="Arial"/>
    </font>
    <font>
      <sz val="11"/>
      <name val="Calibri"/>
    </font>
    <font>
      <sz val="10"/>
      <color rgb="FF000000"/>
      <name val="Arial"/>
    </font>
    <font>
      <u/>
      <sz val="10"/>
      <color rgb="FF0000FF"/>
      <name val="Arial"/>
    </font>
    <font>
      <u/>
      <sz val="10"/>
      <color rgb="FF000000"/>
      <name val="Arial"/>
    </font>
    <font>
      <b/>
      <u/>
      <sz val="10"/>
      <color rgb="FF0000FF"/>
      <name val="Arial"/>
    </font>
    <font>
      <sz val="11"/>
      <color theme="1"/>
      <name val="Calibri"/>
      <scheme val="minor"/>
    </font>
    <font>
      <sz val="11"/>
      <color theme="1"/>
      <name val="Arial"/>
    </font>
  </fonts>
  <fills count="12">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7030A0"/>
        <bgColor rgb="FF993366"/>
      </patternFill>
    </fill>
    <fill>
      <patternFill patternType="solid">
        <fgColor rgb="FF375623"/>
        <bgColor rgb="FF333300"/>
      </patternFill>
    </fill>
    <fill>
      <patternFill patternType="solid">
        <fgColor rgb="FFD6E4F0"/>
        <bgColor rgb="FFE2EFDA"/>
      </patternFill>
    </fill>
    <fill>
      <patternFill patternType="solid">
        <fgColor rgb="FFE2EFDA"/>
        <bgColor rgb="FFF2F2F2"/>
      </patternFill>
    </fill>
    <fill>
      <patternFill patternType="solid">
        <fgColor rgb="FFF2F2F2"/>
        <bgColor rgb="FFE2EFDA"/>
      </patternFill>
    </fill>
    <fill>
      <patternFill patternType="solid">
        <fgColor rgb="FFEAD1DC"/>
        <bgColor rgb="FFFCE4D6"/>
      </patternFill>
    </fill>
    <fill>
      <patternFill patternType="solid">
        <fgColor rgb="FFC55A11"/>
        <bgColor rgb="FF993300"/>
      </patternFill>
    </fill>
    <fill>
      <patternFill patternType="solid">
        <fgColor rgb="FFFCE4D6"/>
        <bgColor rgb="FFF2F2F2"/>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style="thin">
        <color theme="2"/>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top style="thin">
        <color theme="2"/>
      </top>
      <bottom style="thin">
        <color rgb="FFBFBFBF"/>
      </bottom>
      <diagonal/>
    </border>
    <border>
      <left style="thin">
        <color rgb="FFBFBFBF"/>
      </left>
      <right/>
      <top style="thin">
        <color theme="2"/>
      </top>
      <bottom style="thin">
        <color theme="2"/>
      </bottom>
      <diagonal/>
    </border>
  </borders>
  <cellStyleXfs count="2">
    <xf numFmtId="0" fontId="0" fillId="0" borderId="0"/>
    <xf numFmtId="0" fontId="18" fillId="0" borderId="0"/>
  </cellStyleXfs>
  <cellXfs count="57">
    <xf numFmtId="0" fontId="0" fillId="0" borderId="0" xfId="0"/>
    <xf numFmtId="0" fontId="6" fillId="9"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0" borderId="2" xfId="0" applyFont="1" applyBorder="1" applyAlignment="1">
      <alignment horizontal="left" vertical="center" wrapText="1"/>
    </xf>
    <xf numFmtId="0" fontId="4" fillId="0" borderId="1" xfId="0" applyFont="1" applyBorder="1" applyAlignment="1">
      <alignment horizontal="left" vertical="center" wrapText="1"/>
    </xf>
    <xf numFmtId="0" fontId="6"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4" fillId="0" borderId="2" xfId="0" applyFont="1" applyBorder="1" applyAlignment="1">
      <alignment horizontal="left"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4" fillId="0" borderId="7" xfId="0" applyFont="1" applyBorder="1" applyAlignment="1">
      <alignment vertical="center" wrapText="1"/>
    </xf>
    <xf numFmtId="0" fontId="19" fillId="0" borderId="0" xfId="0" applyFont="1"/>
    <xf numFmtId="0" fontId="14" fillId="0" borderId="3" xfId="0" applyFont="1" applyBorder="1" applyAlignment="1">
      <alignment horizontal="left" vertical="center" wrapText="1"/>
    </xf>
    <xf numFmtId="0" fontId="19" fillId="0" borderId="11" xfId="0" applyFont="1" applyBorder="1"/>
    <xf numFmtId="0" fontId="19" fillId="0" borderId="12" xfId="0" applyFont="1" applyBorder="1"/>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2"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8" fillId="0" borderId="4" xfId="0" applyFont="1" applyBorder="1" applyAlignment="1">
      <alignment horizontal="left" vertical="center" wrapText="1"/>
    </xf>
    <xf numFmtId="0" fontId="14" fillId="0" borderId="2" xfId="0" applyFont="1" applyBorder="1" applyAlignment="1">
      <alignment horizontal="left" vertical="center" wrapText="1"/>
    </xf>
    <xf numFmtId="0" fontId="13" fillId="0" borderId="3" xfId="0" applyFont="1" applyBorder="1"/>
    <xf numFmtId="0" fontId="13" fillId="0" borderId="6" xfId="0" applyFont="1" applyBorder="1"/>
    <xf numFmtId="0" fontId="4" fillId="0" borderId="1" xfId="0" applyFont="1" applyBorder="1" applyAlignment="1">
      <alignment horizontal="left" vertical="center" wrapText="1"/>
    </xf>
    <xf numFmtId="0" fontId="3" fillId="10" borderId="1" xfId="0" applyFont="1" applyFill="1" applyBorder="1" applyAlignment="1">
      <alignment horizontal="left" vertical="center" wrapText="1"/>
    </xf>
    <xf numFmtId="0" fontId="8" fillId="0" borderId="0" xfId="0" applyFont="1" applyAlignment="1">
      <alignment horizontal="left" vertical="center" wrapText="1"/>
    </xf>
    <xf numFmtId="0" fontId="6" fillId="8"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19" fillId="0" borderId="8" xfId="0" applyFont="1" applyBorder="1" applyAlignment="1">
      <alignment horizontal="left"/>
    </xf>
    <xf numFmtId="0" fontId="19" fillId="0" borderId="9" xfId="0" applyFont="1" applyBorder="1" applyAlignment="1">
      <alignment horizontal="left"/>
    </xf>
    <xf numFmtId="0" fontId="19" fillId="0" borderId="10" xfId="0" applyFont="1" applyBorder="1" applyAlignment="1">
      <alignment horizontal="left"/>
    </xf>
    <xf numFmtId="0" fontId="4" fillId="0" borderId="2" xfId="0" applyFont="1" applyBorder="1" applyAlignment="1">
      <alignment horizontal="center" vertical="center"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wrapText="1"/>
    </xf>
    <xf numFmtId="0" fontId="7" fillId="2" borderId="1" xfId="0" applyFont="1" applyFill="1" applyBorder="1" applyAlignment="1">
      <alignment horizontal="center" vertical="center" wrapText="1"/>
    </xf>
    <xf numFmtId="0" fontId="8" fillId="0" borderId="0" xfId="0" applyFont="1" applyAlignment="1">
      <alignment horizontal="center" vertical="center" wrapText="1"/>
    </xf>
    <xf numFmtId="0" fontId="3" fillId="3"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2" fillId="0" borderId="2" xfId="0" applyFont="1" applyBorder="1" applyAlignment="1">
      <alignment horizontal="left" vertical="center" wrapText="1"/>
    </xf>
    <xf numFmtId="0" fontId="17" fillId="0" borderId="2" xfId="0" applyFont="1" applyBorder="1" applyAlignment="1">
      <alignment horizontal="left" vertical="center" wrapText="1"/>
    </xf>
    <xf numFmtId="0" fontId="5" fillId="2" borderId="1" xfId="0" applyFont="1" applyFill="1" applyBorder="1" applyAlignment="1">
      <alignment horizontal="center" vertical="center" wrapText="1"/>
    </xf>
    <xf numFmtId="0" fontId="6" fillId="0" borderId="2" xfId="0" applyFont="1" applyBorder="1" applyAlignment="1">
      <alignment horizontal="left"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3" xfId="0" applyFont="1" applyBorder="1" applyAlignment="1">
      <alignment horizontal="center" vertical="center" wrapText="1"/>
    </xf>
    <xf numFmtId="0" fontId="11" fillId="0" borderId="2" xfId="0" applyFont="1" applyBorder="1" applyAlignment="1">
      <alignment horizontal="left" vertical="center" wrapText="1"/>
    </xf>
  </cellXfs>
  <cellStyles count="2">
    <cellStyle name="Normal" xfId="0" builtinId="0"/>
    <cellStyle name="Normal 2" xfId="1" xr:uid="{0F3CCC82-780C-4CF2-A84F-F404A53494AF}"/>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WT301_Nhom03_Phurai%20Restaurant%20Management%20System%20(1).xlsx" TargetMode="External"/><Relationship Id="rId2" Type="http://schemas.openxmlformats.org/officeDocument/2006/relationships/externalLinkPath" Target="file:///C:\Users\Admin\Downloads\SWT301_Nhom03_Phurai%20Restaurant%20Management%20System%20(1).xlsx" TargetMode="External"/><Relationship Id="rId1" Type="http://schemas.openxmlformats.org/officeDocument/2006/relationships/externalLinkPath" Target="/Users/Admin/Downloads/SWT301_Nhom03_Phurai%20Restaurant%20Management%20System%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ướng dẫn"/>
      <sheetName val="Thông tin nhóm"/>
      <sheetName val="Week_01"/>
      <sheetName val="Week_02"/>
      <sheetName val="Week_03"/>
      <sheetName val="Week_04"/>
      <sheetName val="Week_05"/>
      <sheetName val="Week_06"/>
      <sheetName val="Week_07"/>
      <sheetName val="Week_08"/>
      <sheetName val="Week_09"/>
      <sheetName val="Week_10"/>
      <sheetName val="Summary"/>
    </sheetNames>
    <sheetDataSet>
      <sheetData sheetId="0" refreshError="1"/>
      <sheetData sheetId="1" refreshError="1"/>
      <sheetData sheetId="2">
        <row r="40">
          <cell r="E40" t="str">
            <v>Tôi có SRS hệ thống quản lý hoạt động nhà hàng. Phân loại 10 yêu cầu sau thành FR/NFR và đánh dấu lỗi Ambiguity/Inconsistency/Incompleteness/Untestable: [danh sách yêu cầu]</v>
          </cell>
        </row>
        <row r="41">
          <cell r="E41" t="str">
            <v>AI phân loại đúng 8/10; sai 2: xếp “gửi email xác nhận” thành FR thay vì vừa có FR vừa có NFR bảo mật; bỏ sót Incompleteness trong luồng Google OAuth.</v>
          </cell>
        </row>
        <row r="42">
          <cell r="E42" t="str">
            <v>Giữ kết quả đúng, sửa 2 lỗi phân loại, bổ sung 3 mục NFR bảo mật vào SRS_Analysis.xlsx.</v>
          </cell>
        </row>
        <row r="43">
          <cell r="E43" t="str">
            <v>GV review đạt, có ghi chú sửa 2 điểm; deliverable hoàn chỉnh</v>
          </cell>
        </row>
        <row r="44">
          <cell r="E44" t="str">
            <v>Generate markdown table template for SRS defect analysis: Defect_ID, Type, Location_in_SRS, Description, Recommendation</v>
          </cell>
        </row>
        <row r="45">
          <cell r="E45" t="str">
            <v>Copilot sinh bảng đúng format nhưng không có dữ liệu mẫu và thiếu cột Severity.</v>
          </cell>
        </row>
        <row r="46">
          <cell r="E46" t="str">
            <v>Thêm cột Severity/Testability, điền 8 dòng dữ liệu thực tế từ SRS hệ thống nhà hàng.</v>
          </cell>
        </row>
        <row r="47">
          <cell r="E47" t="str">
            <v>Bảng dùng được cho deliverable tuần 1; review chéo không còn thiếu cột quan trọng.</v>
          </cell>
        </row>
        <row r="48">
          <cell r="E48" t="str">
            <v>Viết Acceptance Criteria Given-When-Then cho US-01: Là khách hàng, tôi muốn đăng ký tài khoản bằng email để sử dụng hệ thống nhà hàng. Cần ≥ 4 scenario gồm happy path và edge cases.</v>
          </cell>
        </row>
        <row r="49">
          <cell r="E49" t="str">
            <v>AI viết 5 scenario: đăng ký thành công, email sai format, email đã tồn tại, password yếu, confirm không khớp. Thiếu scenario chưa verify email.</v>
          </cell>
        </row>
        <row r="50">
          <cell r="E50" t="str">
            <v>Thêm scenario "chưa verify email → không thể đăng nhập", điều chỉnh sang tiếng Việt, thêm chi tiết BCrypt.</v>
          </cell>
        </row>
        <row r="51">
          <cell r="E51" t="str">
            <v>Test thủ công pass 6/6 scenario, dùng làm mẫu cho các US còn lại</v>
          </cell>
        </row>
        <row r="52">
          <cell r="E52" t="str">
            <v>Giải thích 7 nguyên lý kiểm thử và Agile Testing Quadrants, rồi áp dụng cho module Reservation + QR Ordering của hệ thống quản lý hoạt động nhà hàng.</v>
          </cell>
        </row>
        <row r="53">
          <cell r="E53" t="str">
            <v>Giải thích đúng, ví dụ Cart phù hợp, nhưng chiến lược quá chung chung — chỉ nêu "cập nhật test case định kỳ".</v>
          </cell>
        </row>
        <row r="54">
          <cell r="E54" t="str">
            <v>Bổ sung ví dụ PIT/mutation testing, rotation test case theo sprint, exploratory testing cho luồng đặt bàn và QR order.</v>
          </cell>
        </row>
        <row r="55">
          <cell r="E55" t="str">
            <v>Dùng làm phần lý thuyết báo cáo tuần 1, đồng nghiệp đọc hiểu được</v>
          </cell>
        </row>
        <row r="60">
          <cell r="E60" t="str">
            <v>Phân tích tổng quan hệ thống quản lý hoạt động nhà hàng, xác định phạm vi chính gồm: đăng ký/đăng nhập, đặt bàn, quản lý bàn, gọi món bằng QR, thanh toán giả lập, phản hồi khách hàng và quản lý nhân viên. Tổng hợp actor chính gồm Customer, Staff, Manager và Admin. Phân chia module cho từng thành viên và kiểm tra lại sự phù hợp với yêu cầu đề tài.</v>
          </cell>
        </row>
        <row r="61">
          <cell r="E61" t="str">
            <v>ChatGPT-4o phân loại FR/NFR nhanh (tiết kiệm ~1h), gợi ý 3 NFR bảo mật nhóm bỏ sót, sinh AC format GWT cho 2 user story.</v>
          </cell>
        </row>
        <row r="62">
          <cell r="E62" t="str">
            <v>AI đôi lúc đề xuất quá nhiều chức năng ngoài phạm vi tuần 1 như loyalty point, delivery hoặc hệ thống đa chi nhánh. Một số use case ban đầu còn chung chung, chưa phân biệt rõ quyền của Staff, Manager và Admin.</v>
          </cell>
        </row>
        <row r="63">
          <cell r="E63" t="str">
            <v>Sẽ đọc kỹ yêu cầu trước khi hỏi AI, ghi rõ constraint của hệ thống để AI không đề xuất chức năng dư thừa. Sẽ lập bảng actor — use case — module ngay từ đầu để nhóm dễ chia việc hơn.</v>
          </cell>
        </row>
        <row r="64">
          <cell r="E64" t="str">
            <v>Khó xác định phạm vi hệ thống vừa đủ, tránh làm quá rộng. Một số nghiệp vụ như đặt bàn, check-in, đổi trạng thái bàn và hủy đặt bàn cần hiểu rõ luồng thực tế của nhà hàng</v>
          </cell>
        </row>
        <row r="67">
          <cell r="E67" t="str">
            <v>Phân tích module xác thực người dùng gồm đăng ký tài khoản, đăng nhập, đăng nhập bằng Google, quên mật khẩu, đổi mật khẩu, xác thực email và cập nhật hồ sơ cá nhân. Xác định dữ liệu cần lưu cho user như username, email, password hash, role, avatar, phone và trạng thái tài khoản.</v>
          </cell>
        </row>
        <row r="68">
          <cell r="E68" t="str">
            <v>GitHub Copilot và ChatGPT hỗ trợ tạo danh sách chức năng authentication, gợi ý bảng dữ liệu Users, Roles, OTP_Tokens, Password_Reset và Google_Accounts. AI cũng hỗ trợ viết mô tả use case cho đăng ký, đăng nhập và quên mật khẩu.</v>
          </cell>
        </row>
        <row r="69">
          <cell r="E69" t="str">
            <v>AI ban đầu chưa tách rõ Users và Customers/Staff. Một số đề xuất chưa phù hợp với SQL Server như kiểu dữ liệu hoặc tên cột chưa thống nhất. AI cũng thiếu phần kiểm tra email đã tồn tại và trạng thái tài khoản bị khóa.</v>
          </cell>
        </row>
        <row r="70">
          <cell r="E70" t="str">
            <v>Khó thiết kế authentication vừa đủ an toàn nhưng không quá phức tạp. Cần phân biệt rõ role dùng để phân quyền và bảng Staff/Customer dùng để lưu thông tin nghiệp vụ riêng.</v>
          </cell>
        </row>
        <row r="71">
          <cell r="E71" t="str">
            <v>Sẽ chuẩn hóa tên bảng, tên cột và quy tắc phân quyền trước khi thiết kế database. Khi dùng AI sẽ yêu cầu xuất kết quả theo đúng SQL Server và đúng phạm vi chức năng nhóm cần làm.</v>
          </cell>
        </row>
        <row r="74">
          <cell r="E74" t="str">
            <v>Phân tích module đặt bàn và quản lý bàn. Xác định các chức năng chính gồm xem bàn trống, đặt bàn, chọn khu VIP, cập nhật đặt bàn, hủy đặt bàn, check-in khách, gán bàn cho khách và theo dõi trạng thái bàn. Vẽ nháp luồng xử lý reservation từ lúc khách đặt bàn đến khi nhân viên xác nhận.</v>
          </cell>
        </row>
        <row r="75">
          <cell r="E75" t="str">
            <v>ChatGPT hỗ trợ tạo luồng nghiệp vụ reservation, gợi ý các trạng thái như Pending, Confirmed, Checked-in, Completed và Cancelled. AI cũng hỗ trợ viết use case specification cho chức năng Book Reservation và Cancel Reservation.</v>
          </cell>
        </row>
        <row r="76">
          <cell r="E76" t="str">
            <v>AI có lúc đề xuất quy trình thanh toán đặt cọc cho reservation, trong khi hệ thống hiện tại chỉ cần xác nhận đặt bàn và thanh toán sau khi dùng bữa. Một số luồng hủy đặt bàn chưa xét rõ điều kiện thời gian và quyền xử lý của Manager.</v>
          </cell>
        </row>
        <row r="77">
          <cell r="E77" t="str">
            <v>Khó xác định trạng thái bàn và trạng thái đặt bàn khác nhau như thế nào. Ví dụ bàn có thể Available, Occupied, Reserved, Cleaning; còn reservation lại có Pending, Confirmed, Cancelled.</v>
          </cell>
        </row>
        <row r="78">
          <cell r="E78" t="str">
            <v>Sẽ tách riêng state diagram cho Table và Reservation để tránh nhầm lẫn. Khi prompt AI sẽ ghi rõ “không xử lý đặt cọc” và yêu cầu AI giải thích từng trạng thái theo nghiệp vụ nhà hàng.</v>
          </cell>
        </row>
        <row r="81">
          <cell r="E81" t="str">
            <v>Phân tích module menu, order, kitchen và payment. Xác định chức năng khách xem menu, quét QR, thêm món vào order, cập nhật/hủy món, nhân viên theo dõi order, bếp cập nhật trạng thái món và hệ thống tạo hóa đơn/thanh toán giả lập. Tổng hợp các bảng dữ liệu liên quan như Dishes, Categories, Orders, Order_Items, Kitchen_Tickets, Bills và Payments.</v>
          </cell>
        </row>
        <row r="82">
          <cell r="E82" t="str">
            <v>Claude và ChatGPT hỗ trợ chia nhỏ quy trình gọi món từ QR đến bếp, gợi ý trạng thái order như New, Preparing, Served, Cancelled và Paid. AI cũng hỗ trợ rà soát mối quan hệ giữa Order, Order_Item, Dish, Bill và Payment</v>
          </cell>
        </row>
        <row r="83">
          <cell r="E83" t="str">
            <v>AI đôi lúc gộp Order và Bill làm một bảng, làm mất ý nghĩa nghiệp vụ. Một số đề xuất chưa xét trường hợp khách sửa món sau khi bếp đã bắt đầu chuẩn bị. AI cũng thiếu kiểm tra tồn kho nguyên liệu khi món được order.</v>
          </cell>
        </row>
        <row r="84">
          <cell r="E84" t="str">
            <v>Khó phân biệt luồng order của khách và luồng xử lý của bếp. Ngoài ra, việc xác định khi nào được phép hủy món hoặc sửa số lượng món cần có business rule rõ ràng.</v>
          </cell>
        </row>
        <row r="85">
          <cell r="E85" t="str">
            <v>Sẽ viết trước business rule cho order như: món chưa chuẩn bị thì được sửa/hủy, món đang chuẩn bị phải có Staff xác nhận, món đã phục vụ thì không được hủy. Sẽ yêu cầu AI tạo bảng rule trước khi tạo database hoặc diagram.</v>
          </cell>
        </row>
      </sheetData>
      <sheetData sheetId="3">
        <row r="8">
          <cell r="B8" t="str">
            <v>12/05/2026</v>
          </cell>
          <cell r="C8" t="str">
            <v>A</v>
          </cell>
          <cell r="D8" t="str">
            <v>ChatGPT-4o</v>
          </cell>
          <cell r="E8" t="str">
            <v>Phân tích yêu cầu UI cho trang Home, Take Out, Catering, Contact &amp; Hours, Careers từ mô tả hệ thống nhà hàng</v>
          </cell>
          <cell r="F8" t="str">
            <v>Figma_UI_Pages.fig</v>
          </cell>
          <cell r="G8" t="str">
            <v>High</v>
          </cell>
          <cell r="H8" t="str">
            <v>Bổ sung Entry/Exit Criteria cụ thể, thêm mục Risks</v>
          </cell>
          <cell r="I8" t="str">
            <v>Đối chiếu với flow người dùng và yêu cầu web nhà hàng</v>
          </cell>
        </row>
        <row r="9">
          <cell r="B9" t="str">
            <v>12/05/2026</v>
          </cell>
          <cell r="C9" t="str">
            <v>B</v>
          </cell>
          <cell r="D9" t="str">
            <v>Claude</v>
          </cell>
          <cell r="E9" t="str">
            <v>Gợi ý bố cục Figma cho trang Take Out và Catering, gồm menu preview, combo package, CTA đặt món và đặt tiệc</v>
          </cell>
          <cell r="F9" t="str">
            <v>Figma_UI_TakeOut_Catering.fig</v>
          </cell>
          <cell r="G9" t="str">
            <v>Medium</v>
          </cell>
          <cell r="H9" t="str">
            <v>Điều chỉnh màu sắc, spacing, font size, loại bỏ section dư không phù hợp</v>
          </cell>
          <cell r="I9" t="str">
            <v>Peer review nội bộ</v>
          </cell>
        </row>
        <row r="10">
          <cell r="B10" t="str">
            <v>13/05/2026</v>
          </cell>
          <cell r="C10" t="str">
            <v>C</v>
          </cell>
          <cell r="D10" t="str">
            <v>ChatGPT-4o</v>
          </cell>
          <cell r="E10" t="str">
            <v>Chia actor và use case cho hệ thống quản lý hoạt động nhà hàng: Customer, Staff, Manager, Admin</v>
          </cell>
          <cell r="F10" t="str">
            <v>UseCase_Restaurant.drawio</v>
          </cell>
          <cell r="G10" t="str">
            <v>Medium</v>
          </cell>
          <cell r="H10" t="str">
            <v>Bổ sung use case đặt bàn, QR order, quản lý món, quản lý nhân viên, báo cáo doanh thu</v>
          </cell>
          <cell r="I10" t="str">
            <v>So sánh với estimate thực tế tuần 4</v>
          </cell>
        </row>
        <row r="11">
          <cell r="B11" t="str">
            <v>14/05/2026</v>
          </cell>
          <cell r="C11" t="str">
            <v>D</v>
          </cell>
          <cell r="D11" t="str">
            <v>GitHub Copilot</v>
          </cell>
          <cell r="E11" t="str">
            <v>Hỗ trợ xây dựng database tổng quát cho nhà hàng: Users, Roles, Reservations, Tables, Orders, Dishes, Payments</v>
          </cell>
          <cell r="F11" t="str">
            <v>Restaurant_Database.sql</v>
          </cell>
          <cell r="G11" t="str">
            <v>Low</v>
          </cell>
          <cell r="H11" t="str">
            <v>Chỉnh khóa chính, khóa ngoại, tách bảng Users với Customers/Staff, thêm bảng trạng thái</v>
          </cell>
          <cell r="I11" t="str">
            <v>Kiểm tra logic quan hệ 1-n, n-n và review bằng ERD</v>
          </cell>
        </row>
        <row r="12">
          <cell r="B12" t="str">
            <v>15/05/2026</v>
          </cell>
          <cell r="C12" t="str">
            <v>A</v>
          </cell>
          <cell r="D12" t="str">
            <v>Claude</v>
          </cell>
          <cell r="E12" t="str">
            <v>Rà soát tổng thể UI, use case và database để đảm bảo đồng bộ giữa thiết kế và chức năng hệ thống</v>
          </cell>
          <cell r="F12" t="str">
            <v>Notes_Week2.md</v>
          </cell>
          <cell r="G12" t="str">
            <v>Low</v>
          </cell>
          <cell r="H12" t="str">
            <v>Ghi chú các điểm cần sửa: Contact/Hours, Career form, reservation flow, role permission</v>
          </cell>
          <cell r="I12" t="str">
            <v>Team review, kiểm tra lại với requirement chín</v>
          </cell>
        </row>
        <row r="21">
          <cell r="C21" t="str">
            <v>A</v>
          </cell>
          <cell r="E21" t="str">
            <v>Tạo thiết kế UI trang Home gồm hero section, navbar, giới thiệu nhà hàng, gallery, review khách hàng và nút Reservation</v>
          </cell>
          <cell r="G21" t="str">
            <v>Figma_UI_Home.fig</v>
          </cell>
          <cell r="I21" t="str">
            <v>Thiết kế theo phong cách restaurant landing page</v>
          </cell>
        </row>
        <row r="22">
          <cell r="C22" t="str">
            <v>B</v>
          </cell>
          <cell r="G22" t="str">
            <v>Figma_UI_TakeOut.fig</v>
          </cell>
          <cell r="I22" t="str">
            <v>Tập trung vào trải nghiệm khách đặt món mang đi</v>
          </cell>
        </row>
        <row r="23">
          <cell r="C23" t="str">
            <v>C</v>
          </cell>
          <cell r="E23" t="str">
            <v>Tạo UI trang Catering gồm Corporate Catering và Private Catering, có phần mô tả dịch vụ và form liên hệ</v>
          </cell>
          <cell r="G23" t="str">
            <v>Figma_UI_Catering.fig</v>
          </cell>
          <cell r="I23" t="str">
            <v>Phân tách rõ 2 nhóm khách hàng</v>
          </cell>
        </row>
        <row r="25">
          <cell r="C25" t="str">
            <v>A</v>
          </cell>
          <cell r="D25" t="str">
            <v>Cập nhật Test Plan: thêm Testcontainers vào Environmental Needs</v>
          </cell>
          <cell r="G25" t="str">
            <v>Figma_UI_Pages.fig</v>
          </cell>
          <cell r="I25" t="str">
            <v>Giữ style thống nhất toàn bộ website</v>
          </cell>
        </row>
        <row r="26">
          <cell r="C26" t="str">
            <v>B</v>
          </cell>
          <cell r="D26" t="str">
            <v>Điều chỉnh RPN module Payment: tăng Impact lên 5 (business critical)</v>
          </cell>
          <cell r="G26" t="str">
            <v>UseCase_Restaurant.drawio</v>
          </cell>
          <cell r="I26" t="str">
            <v>Staff xử lý nghiệp vụ; Manager quản lý và báo cáo</v>
          </cell>
        </row>
        <row r="27">
          <cell r="C27" t="str">
            <v>D</v>
          </cell>
          <cell r="D27" t="str">
            <v>Thêm cột "Smoke Suite" vào Priority Bucket table</v>
          </cell>
          <cell r="G27" t="str">
            <v>Restaurant_Database.sql</v>
          </cell>
          <cell r="I27" t="str">
            <v>Tránh nhầm role với thông tin nhân viên</v>
          </cell>
        </row>
        <row r="29">
          <cell r="C29" t="str">
            <v>C</v>
          </cell>
          <cell r="G29" t="str">
            <v>Figma_UI_Catering.fig</v>
          </cell>
          <cell r="I29" t="str">
            <v>Review lại trên màn hình desktop</v>
          </cell>
        </row>
        <row r="30">
          <cell r="C30" t="str">
            <v>A</v>
          </cell>
          <cell r="G30" t="str">
            <v>TestPlan_Cart.doc</v>
          </cell>
          <cell r="I30" t="str">
            <v>Một order có nhiều item, một bill có thể gắn với payment</v>
          </cell>
        </row>
        <row r="33">
          <cell r="C33" t="str">
            <v>D</v>
          </cell>
          <cell r="G33" t="str">
            <v>NotesWeek2.md</v>
          </cell>
        </row>
        <row r="40">
          <cell r="E40" t="str">
            <v>Thiết kế cấu trúc UI cho website Restaurant Operations Management System gồm các page Home, Take Out, Catering, Contact &amp; Hours và Careers. Yêu cầu phong cách hiện đại, phù hợp nhà hàng, có navbar, hero section, CTA button, hình ảnh món ăn, thông tin liên hệ và trải nghiệm đặt bàn/đặt món.</v>
          </cell>
        </row>
        <row r="41">
          <cell r="E41" t="str">
            <v>AI gợi ý được bố cục tổng thể cho từng page, nhưng một số section còn quá chung chung, chưa giống website nhà hàng thực tế. AI cũng đề xuất thêm loyalty point và delivery tracking, vượt ngoài phạm vi nhóm đang làm.</v>
          </cell>
        </row>
        <row r="42">
          <cell r="E42" t="str">
            <v>Giữ lại cấu trúc chính gồm hero, menu preview, CTA, gallery, contact và career form. Loại bỏ chức năng ngoài scope, chỉnh lại layout để phù hợp với Figma và style nhà hàng.</v>
          </cell>
        </row>
        <row r="43">
          <cell r="E43" t="str">
            <v>Review trực tiếp trên Figma, kiểm tra từng page có đủ mục đích sử dụng và không bị lệch scope đề tài.</v>
          </cell>
        </row>
        <row r="44">
          <cell r="E44" t="str">
            <v>Chia actor và use case cho hệ thống quản lý hoạt động nhà hàng. Actor gồm Customer, Staff, Manager và Admin. Chức năng gồm đăng ký, đăng nhập, đặt bàn, chọn khu VIP, gọi món bằng QR, thanh toán, quản lý bàn, quản lý món ăn, quản lý nhân viên, báo cáo doanh thu và phản hồi khách hàng.</v>
          </cell>
        </row>
        <row r="45">
          <cell r="E45" t="str">
            <v>AI chia được nhiều use case quan trọng nhưng ban đầu bị trùng giữa Staff và Manager. Một số use case như Manage Order, Manage Table và Manage Menu chưa phân biệt rõ ai thao tác và ai phê duyệt.</v>
          </cell>
        </row>
        <row r="46">
          <cell r="E46" t="str">
            <v>Tách lại Staff phụ trách check-in, seat customer, update order, update table status. Manager phụ trách manage staff, manage menu, view report, approve refund. Admin phụ trách role, permission và system configuration.</v>
          </cell>
        </row>
        <row r="47">
          <cell r="E47" t="str">
            <v>Đối chiếu use case với scope hệ thống nhà hàng và kiểm tra mối liên kết actor — use case trong Draw.io.</v>
          </cell>
        </row>
        <row r="48">
          <cell r="E48" t="str">
            <v>Thiết kế database tổng quát cho hệ thống quản lý nhà hàng gồm authentication, reservation, table management, menu, order, payment, staff management, feedback và report. Yêu cầu có khóa chính, khóa ngoại, quan hệ rõ ràng và phù hợp SQL Server.</v>
          </cell>
        </row>
        <row r="49">
          <cell r="E49" t="str">
            <v>AI tạo được nhiều bảng cần thiết nhưng ban đầu gộp Users với Staff/Customer, làm database khó mở rộng. Một số bảng trạng thái như Reservation_Status, Table_Status, Payment_Status chưa được tách rõ.</v>
          </cell>
        </row>
        <row r="50">
          <cell r="E50" t="str">
            <v>Tách Users dùng cho đăng nhập và phân quyền. Customers và Staff lưu thông tin nghiệp vụ riêng. Bổ sung các bảng Reservations, Tables, Orders, Order_Items, Bills, Payments, Dishes, Roles và User_Roles.</v>
          </cell>
        </row>
        <row r="51">
          <cell r="E51" t="str">
            <v>Kiểm tra lại quan hệ 1-n và n-n, rà soát bằng ERD để đảm bảo không thiếu khóa ngoại quan trọng.</v>
          </cell>
        </row>
        <row r="52">
          <cell r="E52" t="str">
            <v>Review giúp tôi sự đồng bộ giữa UI Figma, Use Case Diagram và Database Design cho hệ thống quản lý hoạt động nhà hàng. Kiểm tra xem các page Home, Take Out, Catering, Contact &amp; Hours, Careers có liên quan đúng với chức năng và bảng dữ liệu không.</v>
          </cell>
        </row>
        <row r="53">
          <cell r="E53" t="str">
            <v>AI chỉ ra một số điểm thiếu như Contact &amp; Hours cần liên quan đến support/contact, Careers cần liên quan đến recruitment hoặc staff, Take Out cần liên quan đến order và menu. Tuy nhiên AI chưa biết đầy đủ phạm vi database nhóm đã chọn.</v>
          </cell>
        </row>
        <row r="54">
          <cell r="E54" t="str">
            <v>Cập nhật ghi chú mapping giữa UI page và chức năng hệ thống. Take Out liên quan Menu/Order, Catering liên quan Contact/Booking, Career liên quan Staff, Contact &amp; Hours liên quan Support/Restaurant Info.</v>
          </cell>
        </row>
        <row r="55">
          <cell r="E55" t="str">
            <v>Team review lại từng page, đảm bảo UI không chỉ đẹp mà còn có chức năng tương ứng trong use case và database.</v>
          </cell>
        </row>
        <row r="60">
          <cell r="E60" t="str">
            <v>Thiết kế và rà soát UI tổng thể trên Figma cho các trang chính của website nhà hàng gồm Home, Take Out, Catering, Contact &amp; Hours và Careers. Đồng thời kiểm tra sự thống nhất giữa màu sắc, font chữ, navbar, footer, CTA button và bố cục từng trang.</v>
          </cell>
        </row>
        <row r="61">
          <cell r="E61" t="str">
            <v>ChatGPT hỗ trợ gợi ý cấu trúc layout cho từng page, cách chia section hợp lý và cách làm UI phù hợp với website nhà hàng. AI cũng giúp đề xuất nội dung cho hero section, CTA và các phần giới thiệu dịch vụ.</v>
          </cell>
        </row>
        <row r="62">
          <cell r="E62" t="str">
            <v>AI đôi lúc đề xuất quá nhiều chức năng ngoài phạm vi như delivery tracking, loyalty point hoặc hệ thống đa chi nhánh. Một số gợi ý UI còn chung chung, chưa bám sát phong cách thương hiệu của nhà hàng.</v>
          </cell>
        </row>
        <row r="63">
          <cell r="E63" t="str">
            <v>Khó giữ style thống nhất giữa nhiều page vì mỗi trang có mục đích khác nhau. Trang Home cần gây ấn tượng, Take Out cần rõ món và hành động đặt món, Catering cần chuyên nghiệp, Careers cần đơn giản và dễ ứng tuyển.</v>
          </cell>
        </row>
        <row r="64">
          <cell r="E64" t="str">
            <v>Thiết kế chi tiết UI cho trang Take Out và Catering trên Figma. Trang Take Out tập trung vào danh sách món, combo, nút đặt món và thông tin nhận hàng. Trang Catering chia thành dịch vụ tiệc công ty và tiệc cá nhân, có phần mô tả dịch vụ và form liên hệ.</v>
          </cell>
        </row>
        <row r="67">
          <cell r="E67" t="str">
            <v>Xây dựng Risk Matrix với RPN cho 6 module chính. Phân loại Smoke/Regression/Full suite.Thiết kế chi tiết UI cho trang Take Out và Catering trên Figma. Trang Take Out tập trung vào danh sách món, combo, nút đặt món và thông tin nhận hàng. Trang Catering chia thành dịch vụ tiệc công ty và tiệc cá nhân, có phần mô tả dịch vụ và form liên hệ.</v>
          </cell>
        </row>
        <row r="68">
          <cell r="E68" t="str">
            <v>Claude và ChatGPT hỗ trợ gợi ý bố cục UI, cách đặt tiêu đề, cách chia nội dung theo section và đề xuất nội dung mô tả dịch vụ. AI cũng giúp nhóm chọn cách trình bày CTA để người dùng dễ thao tác.</v>
          </cell>
        </row>
        <row r="69">
          <cell r="E69" t="str">
            <v>AI tạo nội dung khá dài, chưa phù hợp với UI vì làm page bị rối. Một số gợi ý chưa đúng với nghiệp vụ nhà hàng của nhóm, ví dụ đề xuất giao hàng chi tiết trong khi nhóm chỉ tập trung Take Out cơ bản.</v>
          </cell>
        </row>
        <row r="70">
          <cell r="E70" t="str">
            <v>Khó cân bằng giữa giao diện đẹp và đầy đủ thông tin. Nếu đưa quá nhiều text thì UI nặng, nhưng nếu quá ít thì người dùng không hiểu rõ dịch vụ.</v>
          </cell>
        </row>
        <row r="71">
          <cell r="E71" t="str">
            <v>Sẽ viết trước wireframe đơn giản rồi mới nhờ AI cải thiện nội dung. Ngoài ra sẽ yêu cầu AI viết text ngắn gọn theo từng section để dễ đưa vào Figma.</v>
          </cell>
        </row>
        <row r="74">
          <cell r="E74" t="str">
            <v>Phân tích module đặt bàn và quản lý bàn. Xác định các chức năng chính gồm xem bàn trống, đặt bàn, chọn khu VIP, cập nhật đặt bàn, hủy đặt bàn, check-in khách, gán bàn cho khách và theo dõi trạng thái bàn. Vẽ nháp luồng xử lý reservation từ lúc khách đặt bàn đến khi nhân viên xác nhận.</v>
          </cell>
        </row>
        <row r="75">
          <cell r="E75" t="str">
            <v>ChatGPT hỗ trợ chia actor/use case, gợi ý quan hệ include/extend và giải thích cách nhóm chức năng theo từng actor. AI cũng giúp kiểm tra các use case bị thiếu hoặc bị trùng giữa các vai trò.</v>
          </cell>
        </row>
        <row r="76">
          <cell r="E76" t="str">
            <v>AI ban đầu gộp nhiều chức năng quản lý vào Staff, trong khi thực tế Manager mới có quyền quản lý menu, staff và report. Một số use case như Cancel Order, Approve Refund hoặc Manage Role cần được chỉnh lại cho đúng quyền.</v>
          </cell>
        </row>
        <row r="77">
          <cell r="E77" t="str">
            <v>Khó phân biệt use case nào thuộc Customer, Staff, Manager hoặc Admin. Đặc biệt các chức năng liên quan đến order và reservation có nhiều bước nên dễ bị vẽ quá rối.</v>
          </cell>
        </row>
        <row r="78">
          <cell r="E78" t="str">
            <v>Sẽ lập bảng actor — chức năng trước khi vẽ diagram. Sau đó mới đưa vào Draw.io để tránh thiếu use case hoặc nối sai actor.</v>
          </cell>
        </row>
        <row r="81">
          <cell r="E81" t="str">
            <v>Phân tích module menu, order, kitchen và payment. Xác định chức năng khách xem menu, quét QR, thêm món vào order, cập nhật/hủy món, nhân viên theo dõi order, bếp cập nhật trạng thái món và hệ thống tạo hóa đơn/thanh toán giả lập. Tổng hợp các bảng dữ liệu liên quan như Dishes, Categories, Orders, Order_Items, Kitchen_Tickets, Bills và Payments.</v>
          </cell>
        </row>
        <row r="82">
          <cell r="E82" t="str">
            <v>GitHub Copilot và ChatGPT hỗ trợ gợi ý danh sách bảng, thuộc tính, khóa chính, khóa ngoại và quan hệ giữa các bảng. AI cũng giúp giải thích vì sao cần tách Users, Customers và Staff để database rõ ràng hơn.</v>
          </cell>
        </row>
        <row r="83">
          <cell r="E83" t="str">
            <v>AI có lúc tạo quá nhiều bảng không cần thiết, làm database phức tạp hơn phạm vi tuần này. Một số quan hệ ban đầu chưa đúng, ví dụ gộp Order với Bill hoặc chưa tách rõ Role với Staff.</v>
          </cell>
        </row>
        <row r="84">
          <cell r="E84" t="str">
            <v>Khó thiết kế database vừa tổng quát vừa không quá phức tạp. Một số phần như payment, voucher, reservation status và table status cần hiểu rõ nghiệp vụ trước khi tạo bảng.</v>
          </cell>
        </row>
        <row r="85">
          <cell r="E85" t="str">
            <v>Sẽ bắt đầu từ use case trước, sau đó mới chuyển sang entity/table. Cách này giúp database bám sát chức năng thật hơn và tránh tạo bảng dư.</v>
          </cell>
        </row>
      </sheetData>
      <sheetData sheetId="4">
        <row r="8">
          <cell r="B8" t="str">
            <v>19/05/2026</v>
          </cell>
          <cell r="C8" t="str">
            <v>A</v>
          </cell>
          <cell r="D8" t="str">
            <v>ChatGPT-4o</v>
          </cell>
          <cell r="E8" t="str">
            <v>Thiết kế test case EP/BVA cho field Số lượng mua trong giỏ hàng</v>
          </cell>
          <cell r="F8" t="str">
            <v>Database_Schema.sql</v>
          </cell>
          <cell r="G8" t="str">
            <v>Medium</v>
          </cell>
          <cell r="H8" t="str">
            <v>Thêm constraint khóa ngoại, thiết lập giá trị mặc định cho created_at</v>
          </cell>
          <cell r="I8" t="str">
            <v>Chạy script unit test kiểm tra ràng buộc (Integrity check)</v>
          </cell>
        </row>
        <row r="9">
          <cell r="B9" t="str">
            <v>20/05/2026</v>
          </cell>
          <cell r="C9" t="str">
            <v>B</v>
          </cell>
          <cell r="D9" t="str">
            <v>Claude</v>
          </cell>
          <cell r="E9" t="str">
            <v>Tính năng Login: Kiểm thử luồng đăng nhập (Success/Fail)</v>
          </cell>
          <cell r="F9" t="str">
            <v>TestCases_Week1.xls</v>
          </cell>
          <cell r="G9" t="str">
            <v>High</v>
          </cell>
          <cell r="H9" t="str">
            <v>Bổ sung test case cho trường hợp tài khoản bị khóa và sai định dạng email</v>
          </cell>
          <cell r="I9" t="str">
            <v>Verify với log hệ thống; test manual qua Postman</v>
          </cell>
        </row>
        <row r="10">
          <cell r="B10" t="str">
            <v>21/05/2026</v>
          </cell>
          <cell r="C10" t="str">
            <v>C</v>
          </cell>
          <cell r="D10" t="str">
            <v>ChatGPT-4o</v>
          </cell>
          <cell r="E10" t="str">
            <v>Tính năng Login: Xử lý bảo mật cho Password</v>
          </cell>
          <cell r="F10" t="str">
            <v>Security_Test.md</v>
          </cell>
          <cell r="G10" t="str">
            <v>Medium</v>
          </cell>
          <cell r="H10" t="str">
            <v>Thêm test case cho SQL Injection và Brute-force protection</v>
          </cell>
          <cell r="I10" t="str">
            <v>Kiểm tra thời gian delay sau 5 lần nhập sai</v>
          </cell>
        </row>
        <row r="11">
          <cell r="B11" t="str">
            <v>22/05/2026</v>
          </cell>
          <cell r="C11" t="str">
            <v>D</v>
          </cell>
          <cell r="D11" t="str">
            <v>GitHub Copilot</v>
          </cell>
          <cell r="E11" t="str">
            <v>Báo cáo tuần đầu: Tổng hợp tiến độ dự án</v>
          </cell>
          <cell r="F11" t="str">
            <v>Weekly_Report_W1.docx</v>
          </cell>
          <cell r="G11" t="str">
            <v>Low</v>
          </cell>
          <cell r="H11" t="str">
            <v>Cập nhật số liệu thực tế, thêm biểu đồ burn-down chart</v>
          </cell>
          <cell r="I11" t="str">
            <v>Review với PM xác nhận số liệu</v>
          </cell>
        </row>
        <row r="21">
          <cell r="C21" t="str">
            <v>A</v>
          </cell>
          <cell r="E21" t="str">
            <v>Database schema: Thêm bảng 'Orders' và 'OrderDetails'</v>
          </cell>
          <cell r="G21" t="str">
            <v>db_schema.sql</v>
          </cell>
          <cell r="I21" t="str">
            <v>Coverage: 95%</v>
          </cell>
        </row>
        <row r="22">
          <cell r="C22" t="str">
            <v>C</v>
          </cell>
          <cell r="E22" t="str">
            <v>Login: Triển khai JWT Token cho API xác thực</v>
          </cell>
          <cell r="G22" t="str">
            <v>AuthService.java</v>
          </cell>
          <cell r="I22" t="str">
            <v>Tích hợp Spring Security</v>
          </cell>
        </row>
        <row r="23">
          <cell r="C23" t="str">
            <v>B</v>
          </cell>
          <cell r="E23" t="str">
            <v>Báo cáo: Khởi tạo khung báo cáo tuần đầu</v>
          </cell>
          <cell r="G23" t="str">
            <v>Week1_Report.docx</v>
          </cell>
          <cell r="I23" t="str">
            <v>Hoàn thành 30%</v>
          </cell>
        </row>
        <row r="25">
          <cell r="C25" t="str">
            <v>A</v>
          </cell>
          <cell r="E25" t="str">
            <v>Database: Thêm index cho trường 'email' để tối ưu login</v>
          </cell>
          <cell r="G25" t="str">
            <v>db_schema.sql</v>
          </cell>
          <cell r="I25" t="str">
            <v>Cải thiện performance</v>
          </cell>
        </row>
        <row r="26">
          <cell r="C26" t="str">
            <v>D</v>
          </cell>
          <cell r="E26" t="str">
            <v>Login: Cập nhật logic đếm số lần nhập sai mật khẩu</v>
          </cell>
          <cell r="G26" t="str">
            <v>TestCases_Week3.xlsx</v>
          </cell>
          <cell r="I26" t="str">
            <v>Tăng cường bảo mật</v>
          </cell>
        </row>
        <row r="29">
          <cell r="C29" t="str">
            <v>B</v>
          </cell>
          <cell r="E29" t="str">
            <v>Database: Fix lỗi kiểu dữ liệu 'price' (int → decimal)</v>
          </cell>
          <cell r="G29" t="str">
            <v>db_schema.sql</v>
          </cell>
          <cell r="I29" t="str">
            <v>Chỉnh sửa ràng buộc</v>
          </cell>
        </row>
        <row r="30">
          <cell r="C30" t="str">
            <v>A</v>
          </cell>
          <cell r="E30" t="str">
            <v>Login: Fix lỗi session không hết hạn khi logout</v>
          </cell>
          <cell r="G30" t="str">
            <v>AuthService.java</v>
          </cell>
          <cell r="I30" t="str">
            <v>Chỉnh sửa ràng buộc</v>
          </cell>
        </row>
        <row r="33">
          <cell r="E33" t="str">
            <v>Báo cáo: Xóa các draft ghi chú nháp trong báo cáo</v>
          </cell>
          <cell r="G33" t="str">
            <v>Week1_Report.docx</v>
          </cell>
          <cell r="I33" t="str">
            <v>Dọn dẹp tài liệu</v>
          </cell>
        </row>
        <row r="40">
          <cell r="E40" t="str">
            <v>Thiết kế ERD cho dự án quản lý đơn hàng, xác định các thực thể và mối quan hệ chính.</v>
          </cell>
        </row>
        <row r="41">
          <cell r="E41" t="str">
            <v>Cung cấp sơ đồ thực thể chính xác, cần điều chỉnh thêm khóa ngoại.</v>
          </cell>
        </row>
        <row r="42">
          <cell r="E42" t="str">
            <v>Sử dụng ERD làm base để thiết kế database thực tế.</v>
          </cell>
        </row>
        <row r="43">
          <cell r="E43" t="str">
            <v>Pass - Database đã đồng bộ.</v>
          </cell>
        </row>
        <row r="44">
          <cell r="E44" t="str">
            <v>Viết unit test cho hàm kiểm tra định dạng email và mật khẩu trong tính năng login bằng Java JUnit.</v>
          </cell>
        </row>
        <row r="45">
          <cell r="E45" t="str">
            <v>Code mẫu chạy tốt, cần tùy chỉnh lại regex cho khớp với yêu cầu dự án.</v>
          </cell>
        </row>
        <row r="46">
          <cell r="E46" t="str">
            <v>Tích hợp code test vào dự án, thêm các case biên.</v>
          </cell>
        </row>
        <row r="47">
          <cell r="E47" t="str">
            <v>Pass - Test coverage tăng.</v>
          </cell>
        </row>
        <row r="48">
          <cell r="E48" t="str">
            <v>Tóm tắt các điểm quan trọng nhất của báo cáo tuần 1 để chuẩn bị cho buổi họp team.</v>
          </cell>
        </row>
        <row r="49">
          <cell r="E49" t="str">
            <v>Tóm tắt súc tích, làm nổi bật các cột mốc đã hoàn thành.</v>
          </cell>
        </row>
        <row r="50">
          <cell r="E50" t="str">
            <v>Sử dụng làm dàn ý cho slide báo cáo.</v>
          </cell>
        </row>
        <row r="51">
          <cell r="E51" t="str">
            <v>Pass - Nội dung báo cáo rõ ràng.</v>
          </cell>
        </row>
        <row r="56">
          <cell r="E56" t="str">
            <v>Thiết kế ERD, xây dựng schema, tối ưu index.</v>
          </cell>
        </row>
        <row r="57">
          <cell r="E57" t="str">
            <v>Hỗ trợ vẽ cấu trúc bảng và đề xuất kiểu dữ liệu phù hợp</v>
          </cell>
        </row>
        <row r="58">
          <cell r="E58" t="str">
            <v>Chưa tối ưu hoàn toàn các ràng buộc phức tạp theo nghiệp vụ cụ thể.</v>
          </cell>
        </row>
        <row r="59">
          <cell r="E59" t="str">
            <v>Cần kiểm tra kỹ tính toàn vẹn dữ liệu so với yêu cầu thực tế.</v>
          </cell>
        </row>
        <row r="63">
          <cell r="E63" t="str">
            <v>Xây dựng luồng đăng nhập, test case, bảo mật JWT.</v>
          </cell>
        </row>
        <row r="64">
          <cell r="E64" t="str">
            <v>Viết code khung (boilerplate) và đề xuất các case kiểm thử.</v>
          </cell>
        </row>
        <row r="65">
          <cell r="E65" t="str">
            <v>Các case biên (edge cases) chưa được bao quát hết nếu không prompt kỹ.</v>
          </cell>
        </row>
        <row r="66">
          <cell r="E66" t="str">
            <v>Việc tích hợp logic vào hệ thống sẵn có gặp lỗi xung đột phiên.</v>
          </cell>
        </row>
        <row r="70">
          <cell r="E70" t="str">
            <v>Tổng hợp tiến độ, phân tích dữ liệu tuần đầu.</v>
          </cell>
        </row>
        <row r="71">
          <cell r="E71" t="str">
            <v>Hỗ trợ cấu trúc dàn ý và tóm tắt các điểm chính.</v>
          </cell>
        </row>
        <row r="72">
          <cell r="E72" t="str">
            <v>Văn phong đôi khi còn chung chung, thiếu tính chuyên sâu của báo cáo dự án.</v>
          </cell>
        </row>
        <row r="73">
          <cell r="E73" t="str">
            <v>Phải đối chiếu số liệu từ nhiều nguồn để đảm bảo tính chính xác.</v>
          </cell>
        </row>
        <row r="74">
          <cell r="E74" t="str">
            <v>Phân tích module đặt bàn và quản lý bàn. Xác định các chức năng chính gồm xem bàn trống, đặt bàn, chọn khu VIP, cập nhật đặt bàn, hủy đặt bàn, check-in khách, gán bàn cho khách và theo dõi trạng thái bàn. Vẽ nháp luồng xử lý reservation từ lúc khách đặt bàn đến khi nhân viên xác nhận.</v>
          </cell>
        </row>
        <row r="77">
          <cell r="E77" t="str">
            <v>Thiết kế giao diện và kiểm thử luồng người dùng (User Flow)</v>
          </cell>
        </row>
        <row r="78">
          <cell r="E78" t="str">
            <v>Gợi ý các layout chuẩn Material Design cho Dashboard.</v>
          </cell>
        </row>
        <row r="79">
          <cell r="E79" t="str">
            <v>AI gợi ý một số thư viện cũ, chưa tương thích với phiên bản framework hiện tại.</v>
          </cell>
        </row>
        <row r="80">
          <cell r="E80" t="str">
            <v>Cần điều chỉnh CSS thủ công để giao diện khớp với thiết kế gốc</v>
          </cell>
        </row>
        <row r="81">
          <cell r="E81" t="str">
            <v>Phân tích module menu, order, kitchen và payment. Xác định chức năng khách xem menu, quét QR, thêm món vào order, cập nhật/hủy món, nhân viên theo dõi order, bếp cập nhật trạng thái món và hệ thống tạo hóa đơn/thanh toán giả lập. Tổng hợp các bảng dữ liệu liên quan như Dishes, Categories, Orders, Order_Items, Kitchen_Tickets, Bills và Payments.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quagphu159@gmail.com" TargetMode="External"/><Relationship Id="rId2" Type="http://schemas.openxmlformats.org/officeDocument/2006/relationships/hyperlink" Target="mailto:huongdathmy061422@gmail.com" TargetMode="External"/><Relationship Id="rId1" Type="http://schemas.openxmlformats.org/officeDocument/2006/relationships/hyperlink" Target="mailto:tranminhhuy93405@gmail.com" TargetMode="External"/><Relationship Id="rId6" Type="http://schemas.openxmlformats.org/officeDocument/2006/relationships/hyperlink" Target="https://project-course-team5.atlassian.net/jira/software/projects/SCRUM/boards/1" TargetMode="External"/><Relationship Id="rId5" Type="http://schemas.openxmlformats.org/officeDocument/2006/relationships/hyperlink" Target="https://github.com/DangQuangPhu/SWP391-GROUP-3-RESTAURANT-MANAGEMENT-SYSTEM.git" TargetMode="External"/><Relationship Id="rId4" Type="http://schemas.openxmlformats.org/officeDocument/2006/relationships/hyperlink" Target="mailto:huydoan123wp@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5"/>
  <sheetViews>
    <sheetView showGridLines="0" zoomScaleNormal="100" workbookViewId="0"/>
  </sheetViews>
  <sheetFormatPr defaultColWidth="8.6640625" defaultRowHeight="14.4"/>
  <cols>
    <col min="1" max="1" width="3" customWidth="1"/>
    <col min="2" max="2" width="28" customWidth="1"/>
    <col min="3" max="3" width="84.33203125" customWidth="1"/>
  </cols>
  <sheetData>
    <row r="1" spans="2:3" ht="13.5" customHeight="1"/>
    <row r="2" spans="2:3" ht="36" customHeight="1">
      <c r="B2" s="46" t="s">
        <v>0</v>
      </c>
      <c r="C2" s="46"/>
    </row>
    <row r="3" spans="2:3" ht="18" customHeight="1">
      <c r="B3" s="47" t="s">
        <v>1</v>
      </c>
      <c r="C3" s="47"/>
    </row>
    <row r="5" spans="2:3" ht="19.5" customHeight="1">
      <c r="B5" s="48" t="s">
        <v>2</v>
      </c>
      <c r="C5" s="48"/>
    </row>
    <row r="6" spans="2:3" ht="24.75" customHeight="1">
      <c r="B6" s="4" t="s">
        <v>3</v>
      </c>
      <c r="C6" s="4" t="s">
        <v>4</v>
      </c>
    </row>
    <row r="7" spans="2:3" ht="24.75" customHeight="1">
      <c r="B7" s="4" t="s">
        <v>5</v>
      </c>
      <c r="C7" s="4" t="s">
        <v>6</v>
      </c>
    </row>
    <row r="8" spans="2:3" ht="18" customHeight="1">
      <c r="B8" s="4" t="s">
        <v>7</v>
      </c>
      <c r="C8" s="4" t="s">
        <v>8</v>
      </c>
    </row>
    <row r="10" spans="2:3" ht="19.5" customHeight="1">
      <c r="B10" s="43" t="s">
        <v>9</v>
      </c>
      <c r="C10" s="43"/>
    </row>
    <row r="11" spans="2:3">
      <c r="B11" s="4" t="s">
        <v>10</v>
      </c>
      <c r="C11" s="4" t="s">
        <v>11</v>
      </c>
    </row>
    <row r="12" spans="2:3">
      <c r="B12" s="4" t="s">
        <v>12</v>
      </c>
      <c r="C12" s="4" t="s">
        <v>13</v>
      </c>
    </row>
    <row r="13" spans="2:3" ht="18" customHeight="1">
      <c r="B13" s="4" t="s">
        <v>14</v>
      </c>
      <c r="C13" s="4" t="s">
        <v>15</v>
      </c>
    </row>
    <row r="15" spans="2:3" ht="19.5" customHeight="1">
      <c r="B15" s="33" t="s">
        <v>16</v>
      </c>
      <c r="C15" s="33"/>
    </row>
    <row r="16" spans="2:3" ht="24.75" customHeight="1">
      <c r="B16" s="4" t="s">
        <v>17</v>
      </c>
      <c r="C16" s="4" t="s">
        <v>18</v>
      </c>
    </row>
    <row r="17" spans="2:3" ht="24.75" customHeight="1">
      <c r="B17" s="4" t="s">
        <v>19</v>
      </c>
      <c r="C17" s="4" t="s">
        <v>20</v>
      </c>
    </row>
    <row r="18" spans="2:3" ht="24.75" customHeight="1">
      <c r="B18" s="4" t="s">
        <v>21</v>
      </c>
      <c r="C18" s="4" t="s">
        <v>22</v>
      </c>
    </row>
    <row r="19" spans="2:3" ht="24.75" customHeight="1">
      <c r="B19" s="4" t="s">
        <v>23</v>
      </c>
      <c r="C19" s="4" t="s">
        <v>24</v>
      </c>
    </row>
    <row r="21" spans="2:3" ht="19.5" customHeight="1">
      <c r="B21" s="44" t="s">
        <v>25</v>
      </c>
      <c r="C21" s="44"/>
    </row>
    <row r="22" spans="2:3">
      <c r="B22" s="4" t="s">
        <v>26</v>
      </c>
      <c r="C22" s="4" t="s">
        <v>27</v>
      </c>
    </row>
    <row r="23" spans="2:3" ht="24.75" customHeight="1">
      <c r="B23" s="4" t="s">
        <v>28</v>
      </c>
      <c r="C23" s="4" t="s">
        <v>29</v>
      </c>
    </row>
    <row r="24" spans="2:3" ht="18" customHeight="1">
      <c r="B24" s="4" t="s">
        <v>30</v>
      </c>
      <c r="C24" s="4" t="s">
        <v>31</v>
      </c>
    </row>
    <row r="25" spans="2:3" ht="18" customHeight="1">
      <c r="B25" s="4" t="s">
        <v>32</v>
      </c>
      <c r="C25" s="4" t="s">
        <v>33</v>
      </c>
    </row>
  </sheetData>
  <mergeCells count="6">
    <mergeCell ref="B21:C21"/>
    <mergeCell ref="B2:C2"/>
    <mergeCell ref="B3:C3"/>
    <mergeCell ref="B5:C5"/>
    <mergeCell ref="B10:C10"/>
    <mergeCell ref="B15:C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24"/>
  <sheetViews>
    <sheetView showGridLines="0" topLeftCell="A19" zoomScaleNormal="100" workbookViewId="0">
      <selection activeCell="C17" sqref="C17"/>
    </sheetView>
  </sheetViews>
  <sheetFormatPr defaultColWidth="8.6640625" defaultRowHeight="14.4"/>
  <cols>
    <col min="1" max="1" width="3" customWidth="1"/>
    <col min="2" max="2" width="24" customWidth="1"/>
    <col min="3" max="3" width="32.88671875" customWidth="1"/>
    <col min="4" max="4" width="18" customWidth="1"/>
    <col min="5" max="5" width="26" customWidth="1"/>
    <col min="6" max="6" width="18" customWidth="1"/>
    <col min="7" max="7" width="20" customWidth="1"/>
  </cols>
  <sheetData>
    <row r="1" spans="2:7" ht="13.5" customHeight="1"/>
    <row r="2" spans="2:7" ht="36" customHeight="1">
      <c r="B2" s="51" t="s">
        <v>34</v>
      </c>
      <c r="C2" s="51"/>
      <c r="D2" s="51"/>
      <c r="E2" s="51"/>
      <c r="F2" s="51"/>
      <c r="G2" s="51"/>
    </row>
    <row r="3" spans="2:7" ht="19.5" customHeight="1">
      <c r="B3" s="43" t="s">
        <v>35</v>
      </c>
      <c r="C3" s="43"/>
      <c r="D3" s="43"/>
      <c r="E3" s="43"/>
      <c r="F3" s="43"/>
      <c r="G3" s="43"/>
    </row>
    <row r="4" spans="2:7" ht="18" customHeight="1">
      <c r="B4" s="3" t="s">
        <v>36</v>
      </c>
      <c r="C4" s="52" t="s">
        <v>152</v>
      </c>
      <c r="D4" s="52"/>
      <c r="E4" s="52"/>
      <c r="F4" s="52"/>
      <c r="G4" s="52"/>
    </row>
    <row r="5" spans="2:7" ht="18" customHeight="1">
      <c r="B5" s="3" t="s">
        <v>37</v>
      </c>
      <c r="C5" s="52" t="s">
        <v>38</v>
      </c>
      <c r="D5" s="52"/>
      <c r="E5" s="52"/>
      <c r="F5" s="52"/>
      <c r="G5" s="52"/>
    </row>
    <row r="6" spans="2:7" ht="18" customHeight="1">
      <c r="B6" s="3" t="s">
        <v>39</v>
      </c>
      <c r="C6" s="52" t="s">
        <v>40</v>
      </c>
      <c r="D6" s="52"/>
      <c r="E6" s="52"/>
      <c r="F6" s="52"/>
      <c r="G6" s="52"/>
    </row>
    <row r="7" spans="2:7" ht="18" customHeight="1">
      <c r="B7" s="3" t="s">
        <v>41</v>
      </c>
      <c r="C7" s="49" t="s">
        <v>153</v>
      </c>
      <c r="D7" s="26"/>
      <c r="E7" s="26"/>
      <c r="F7" s="26"/>
      <c r="G7" s="26"/>
    </row>
    <row r="8" spans="2:7" ht="18" customHeight="1">
      <c r="B8" s="3" t="s">
        <v>42</v>
      </c>
      <c r="C8" s="49">
        <v>5</v>
      </c>
      <c r="D8" s="26"/>
      <c r="E8" s="26"/>
      <c r="F8" s="26"/>
      <c r="G8" s="26"/>
    </row>
    <row r="10" spans="2:7" ht="19.5" customHeight="1">
      <c r="B10" s="43" t="s">
        <v>43</v>
      </c>
      <c r="C10" s="43"/>
      <c r="D10" s="43"/>
      <c r="E10" s="43"/>
      <c r="F10" s="43"/>
      <c r="G10" s="43"/>
    </row>
    <row r="11" spans="2:7">
      <c r="B11" s="5" t="s">
        <v>44</v>
      </c>
      <c r="C11" s="5" t="s">
        <v>45</v>
      </c>
      <c r="D11" s="5" t="s">
        <v>46</v>
      </c>
      <c r="E11" s="5" t="s">
        <v>151</v>
      </c>
      <c r="F11" s="5" t="s">
        <v>47</v>
      </c>
      <c r="G11" s="5" t="s">
        <v>48</v>
      </c>
    </row>
    <row r="12" spans="2:7" ht="18" customHeight="1">
      <c r="B12" s="6" t="s">
        <v>49</v>
      </c>
      <c r="C12" s="9" t="s">
        <v>154</v>
      </c>
      <c r="D12" s="9" t="s">
        <v>159</v>
      </c>
      <c r="E12" s="10" t="s">
        <v>163</v>
      </c>
      <c r="F12" s="4" t="s">
        <v>50</v>
      </c>
      <c r="G12" s="4"/>
    </row>
    <row r="13" spans="2:7" ht="18" customHeight="1">
      <c r="B13" s="6" t="s">
        <v>51</v>
      </c>
      <c r="C13" s="9" t="s">
        <v>155</v>
      </c>
      <c r="D13" s="9" t="s">
        <v>160</v>
      </c>
      <c r="E13" s="10" t="s">
        <v>164</v>
      </c>
      <c r="F13" s="4" t="s">
        <v>52</v>
      </c>
      <c r="G13" s="4"/>
    </row>
    <row r="14" spans="2:7" ht="18" customHeight="1">
      <c r="B14" s="6" t="s">
        <v>53</v>
      </c>
      <c r="C14" s="9" t="s">
        <v>156</v>
      </c>
      <c r="D14" s="9" t="s">
        <v>161</v>
      </c>
      <c r="E14" s="10" t="s">
        <v>165</v>
      </c>
      <c r="F14" s="4" t="s">
        <v>52</v>
      </c>
      <c r="G14" s="4"/>
    </row>
    <row r="15" spans="2:7" ht="18" customHeight="1">
      <c r="B15" s="6" t="s">
        <v>54</v>
      </c>
      <c r="C15" s="9" t="s">
        <v>157</v>
      </c>
      <c r="D15" s="9" t="s">
        <v>162</v>
      </c>
      <c r="E15" s="11" t="s">
        <v>166</v>
      </c>
      <c r="F15" s="4" t="s">
        <v>52</v>
      </c>
      <c r="G15" s="4"/>
    </row>
    <row r="16" spans="2:7" ht="18" customHeight="1">
      <c r="B16" s="6" t="s">
        <v>55</v>
      </c>
      <c r="C16" s="4" t="s">
        <v>158</v>
      </c>
      <c r="D16" s="4" t="s">
        <v>195</v>
      </c>
      <c r="E16" s="4" t="s">
        <v>205</v>
      </c>
      <c r="F16" s="4" t="s">
        <v>52</v>
      </c>
      <c r="G16" s="4"/>
    </row>
    <row r="18" spans="2:7" ht="19.5" customHeight="1">
      <c r="B18" s="44" t="s">
        <v>56</v>
      </c>
      <c r="C18" s="44"/>
      <c r="D18" s="44"/>
      <c r="E18" s="44"/>
      <c r="F18" s="44"/>
      <c r="G18" s="44"/>
    </row>
    <row r="19" spans="2:7" ht="19.5" customHeight="1">
      <c r="B19" s="7" t="s">
        <v>57</v>
      </c>
      <c r="C19" s="49" t="s">
        <v>167</v>
      </c>
      <c r="D19" s="26"/>
      <c r="E19" s="26"/>
      <c r="F19" s="26"/>
      <c r="G19" s="26"/>
    </row>
    <row r="20" spans="2:7" ht="19.5" customHeight="1">
      <c r="B20" s="7" t="s">
        <v>58</v>
      </c>
      <c r="C20" s="49" t="s">
        <v>168</v>
      </c>
      <c r="D20" s="26"/>
      <c r="E20" s="26"/>
      <c r="F20" s="26"/>
      <c r="G20" s="26"/>
    </row>
    <row r="21" spans="2:7" ht="19.5" customHeight="1">
      <c r="B21" s="7" t="s">
        <v>59</v>
      </c>
      <c r="C21" s="49" t="s">
        <v>169</v>
      </c>
      <c r="D21" s="26"/>
      <c r="E21" s="26"/>
      <c r="F21" s="26"/>
      <c r="G21" s="26"/>
    </row>
    <row r="22" spans="2:7" ht="19.5" customHeight="1">
      <c r="B22" s="7" t="s">
        <v>60</v>
      </c>
      <c r="C22" s="50" t="s">
        <v>170</v>
      </c>
      <c r="D22" s="26"/>
      <c r="E22" s="26"/>
      <c r="F22" s="26"/>
      <c r="G22" s="26"/>
    </row>
    <row r="23" spans="2:7" ht="19.5" customHeight="1">
      <c r="B23" s="7" t="s">
        <v>61</v>
      </c>
      <c r="C23" s="50" t="s">
        <v>171</v>
      </c>
      <c r="D23" s="26"/>
      <c r="E23" s="26"/>
      <c r="F23" s="26"/>
      <c r="G23" s="26"/>
    </row>
    <row r="24" spans="2:7" ht="19.5" customHeight="1">
      <c r="B24" s="7" t="s">
        <v>62</v>
      </c>
      <c r="C24" s="49"/>
      <c r="D24" s="26"/>
      <c r="E24" s="26"/>
      <c r="F24" s="26"/>
      <c r="G24" s="26"/>
    </row>
  </sheetData>
  <mergeCells count="15">
    <mergeCell ref="B2:G2"/>
    <mergeCell ref="B3:G3"/>
    <mergeCell ref="C4:G4"/>
    <mergeCell ref="C5:G5"/>
    <mergeCell ref="C6:G6"/>
    <mergeCell ref="C20:G20"/>
    <mergeCell ref="C21:G21"/>
    <mergeCell ref="C22:G22"/>
    <mergeCell ref="C24:G24"/>
    <mergeCell ref="C7:G7"/>
    <mergeCell ref="C8:G8"/>
    <mergeCell ref="B10:G10"/>
    <mergeCell ref="B18:G18"/>
    <mergeCell ref="C19:G19"/>
    <mergeCell ref="C23:G23"/>
  </mergeCells>
  <hyperlinks>
    <hyperlink ref="E12" r:id="rId1" xr:uid="{2D63B49F-C8D5-441F-9F37-BC7F32D42E86}"/>
    <hyperlink ref="E13" r:id="rId2" xr:uid="{6A06E51D-F1D2-4038-B69B-08D01E93B277}"/>
    <hyperlink ref="E14" r:id="rId3" xr:uid="{4504CE46-B2AC-484A-BD0A-6126871A06B3}"/>
    <hyperlink ref="E15" r:id="rId4" xr:uid="{25A2821A-F3EA-4A36-B253-BADBBB917AD8}"/>
    <hyperlink ref="C22" r:id="rId5" xr:uid="{048207AD-7F1C-43DE-B5F9-1CC5B745F667}"/>
    <hyperlink ref="C23" r:id="rId6" xr:uid="{D034FC04-8B45-4897-807D-8ACAAE48586C}"/>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94"/>
  <sheetViews>
    <sheetView showGridLines="0" topLeftCell="A102" zoomScaleNormal="100" workbookViewId="0">
      <selection activeCell="F93" sqref="F93"/>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34.200000000000003" customHeight="1">
      <c r="B8" s="9" t="s">
        <v>172</v>
      </c>
      <c r="C8" s="9" t="s">
        <v>49</v>
      </c>
      <c r="D8" s="9" t="s">
        <v>173</v>
      </c>
      <c r="E8" s="9" t="s">
        <v>174</v>
      </c>
      <c r="F8" s="9" t="s">
        <v>175</v>
      </c>
      <c r="G8" s="12" t="s">
        <v>133</v>
      </c>
      <c r="H8" s="9" t="s">
        <v>176</v>
      </c>
      <c r="I8" s="9" t="s">
        <v>177</v>
      </c>
    </row>
    <row r="9" spans="2:9" ht="28.8" customHeight="1">
      <c r="B9" s="9" t="s">
        <v>178</v>
      </c>
      <c r="C9" s="9" t="s">
        <v>51</v>
      </c>
      <c r="D9" s="9" t="s">
        <v>179</v>
      </c>
      <c r="E9" s="9" t="s">
        <v>180</v>
      </c>
      <c r="F9" s="9" t="s">
        <v>175</v>
      </c>
      <c r="G9" s="12" t="s">
        <v>132</v>
      </c>
      <c r="H9" s="9" t="s">
        <v>181</v>
      </c>
      <c r="I9" s="9" t="s">
        <v>182</v>
      </c>
    </row>
    <row r="10" spans="2:9" ht="31.2" customHeight="1">
      <c r="B10" s="9" t="s">
        <v>183</v>
      </c>
      <c r="C10" s="9" t="s">
        <v>53</v>
      </c>
      <c r="D10" s="9" t="s">
        <v>173</v>
      </c>
      <c r="E10" s="13" t="s">
        <v>184</v>
      </c>
      <c r="F10" s="9" t="s">
        <v>175</v>
      </c>
      <c r="G10" s="12" t="s">
        <v>134</v>
      </c>
      <c r="H10" s="9" t="s">
        <v>185</v>
      </c>
      <c r="I10" s="9" t="s">
        <v>186</v>
      </c>
    </row>
    <row r="11" spans="2:9" ht="29.4" customHeight="1">
      <c r="B11" s="9" t="s">
        <v>187</v>
      </c>
      <c r="C11" s="9" t="s">
        <v>54</v>
      </c>
      <c r="D11" s="12" t="s">
        <v>188</v>
      </c>
      <c r="E11" s="9" t="s">
        <v>189</v>
      </c>
      <c r="F11" s="14" t="s">
        <v>175</v>
      </c>
      <c r="G11" s="12" t="s">
        <v>132</v>
      </c>
      <c r="H11" s="9" t="s">
        <v>190</v>
      </c>
      <c r="I11" s="9" t="s">
        <v>191</v>
      </c>
    </row>
    <row r="12" spans="2:9" ht="51" customHeight="1">
      <c r="B12" s="9" t="s">
        <v>192</v>
      </c>
      <c r="C12" s="9" t="s">
        <v>55</v>
      </c>
      <c r="D12" s="12" t="s">
        <v>173</v>
      </c>
      <c r="E12" s="9" t="s">
        <v>193</v>
      </c>
      <c r="F12" s="14" t="s">
        <v>175</v>
      </c>
      <c r="G12" s="12" t="s">
        <v>133</v>
      </c>
      <c r="H12" s="9" t="s">
        <v>194</v>
      </c>
      <c r="I12" s="9" t="s">
        <v>182</v>
      </c>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28.8" customHeight="1">
      <c r="B21" s="4"/>
      <c r="C21" s="9" t="s">
        <v>55</v>
      </c>
      <c r="D21" s="53" t="s">
        <v>196</v>
      </c>
      <c r="E21" s="55"/>
      <c r="F21" s="54"/>
      <c r="G21" s="53" t="s">
        <v>197</v>
      </c>
      <c r="H21" s="54"/>
      <c r="I21" s="9" t="s">
        <v>198</v>
      </c>
    </row>
    <row r="22" spans="2:9" ht="27" customHeight="1">
      <c r="B22" s="4"/>
      <c r="C22" s="9" t="s">
        <v>51</v>
      </c>
      <c r="D22" s="53" t="s">
        <v>199</v>
      </c>
      <c r="E22" s="55"/>
      <c r="F22" s="54"/>
      <c r="G22" s="53" t="s">
        <v>200</v>
      </c>
      <c r="H22" s="54"/>
      <c r="I22" s="9" t="s">
        <v>201</v>
      </c>
    </row>
    <row r="23" spans="2:9" ht="18" customHeight="1">
      <c r="B23" s="4"/>
      <c r="C23" s="9" t="s">
        <v>53</v>
      </c>
      <c r="D23" s="53" t="s">
        <v>202</v>
      </c>
      <c r="E23" s="55"/>
      <c r="F23" s="54"/>
      <c r="G23" s="53" t="s">
        <v>203</v>
      </c>
      <c r="H23" s="54"/>
      <c r="I23" s="9" t="s">
        <v>204</v>
      </c>
    </row>
    <row r="24" spans="2:9" ht="15.75" customHeight="1">
      <c r="B24" s="32" t="s">
        <v>80</v>
      </c>
      <c r="C24" s="32"/>
      <c r="D24" s="32"/>
      <c r="E24" s="32"/>
      <c r="F24" s="32"/>
      <c r="G24" s="32"/>
      <c r="H24" s="32"/>
      <c r="I24" s="32"/>
    </row>
    <row r="25" spans="2:9" ht="25.2" customHeight="1">
      <c r="B25" s="4"/>
      <c r="C25" s="9" t="s">
        <v>49</v>
      </c>
      <c r="D25" s="53" t="s">
        <v>206</v>
      </c>
      <c r="E25" s="55"/>
      <c r="F25" s="54"/>
      <c r="G25" s="53" t="s">
        <v>197</v>
      </c>
      <c r="H25" s="54"/>
      <c r="I25" s="9"/>
    </row>
    <row r="26" spans="2:9" ht="18" customHeight="1">
      <c r="B26" s="4"/>
      <c r="C26" s="9" t="s">
        <v>54</v>
      </c>
      <c r="D26" s="53" t="s">
        <v>207</v>
      </c>
      <c r="E26" s="55"/>
      <c r="F26" s="54"/>
      <c r="G26" s="53" t="s">
        <v>197</v>
      </c>
      <c r="H26" s="54"/>
      <c r="I26" s="9"/>
    </row>
    <row r="27" spans="2:9" ht="18" customHeight="1">
      <c r="B27" s="4"/>
      <c r="C27" s="9" t="s">
        <v>51</v>
      </c>
      <c r="D27" s="53" t="s">
        <v>208</v>
      </c>
      <c r="E27" s="55"/>
      <c r="F27" s="54"/>
      <c r="G27" s="53" t="s">
        <v>200</v>
      </c>
      <c r="H27" s="54"/>
      <c r="I27" s="9" t="s">
        <v>209</v>
      </c>
    </row>
    <row r="28" spans="2:9" ht="15.75" customHeight="1">
      <c r="B28" s="32" t="s">
        <v>81</v>
      </c>
      <c r="C28" s="32"/>
      <c r="D28" s="32"/>
      <c r="E28" s="32"/>
      <c r="F28" s="32"/>
      <c r="G28" s="32"/>
      <c r="H28" s="32"/>
      <c r="I28" s="32"/>
    </row>
    <row r="29" spans="2:9" ht="18" customHeight="1">
      <c r="B29" s="4"/>
      <c r="C29" s="9" t="s">
        <v>53</v>
      </c>
      <c r="D29" s="53" t="s">
        <v>210</v>
      </c>
      <c r="E29" s="55"/>
      <c r="F29" s="54"/>
      <c r="G29" s="53" t="s">
        <v>200</v>
      </c>
      <c r="H29" s="54"/>
      <c r="I29" s="9" t="s">
        <v>211</v>
      </c>
    </row>
    <row r="30" spans="2:9" ht="18" customHeight="1">
      <c r="B30" s="4"/>
      <c r="C30" s="9" t="s">
        <v>55</v>
      </c>
      <c r="D30" s="53" t="s">
        <v>212</v>
      </c>
      <c r="E30" s="55"/>
      <c r="F30" s="54"/>
      <c r="G30" s="53" t="s">
        <v>197</v>
      </c>
      <c r="H30" s="54"/>
      <c r="I30" s="9" t="s">
        <v>213</v>
      </c>
    </row>
    <row r="31" spans="2:9" ht="18" customHeight="1">
      <c r="B31" s="4"/>
      <c r="C31" s="4"/>
      <c r="D31" s="4"/>
      <c r="E31" s="4"/>
      <c r="F31" s="4"/>
      <c r="G31" s="38"/>
      <c r="H31" s="39"/>
      <c r="I31" s="4"/>
    </row>
    <row r="32" spans="2:9" ht="15.75" customHeight="1">
      <c r="B32" s="32" t="s">
        <v>82</v>
      </c>
      <c r="C32" s="32"/>
      <c r="D32" s="32"/>
      <c r="E32" s="32"/>
      <c r="F32" s="32"/>
      <c r="G32" s="32"/>
      <c r="H32" s="32"/>
      <c r="I32" s="32"/>
    </row>
    <row r="33" spans="2:9" ht="25.2" customHeight="1">
      <c r="B33" s="4"/>
      <c r="C33" s="9" t="s">
        <v>54</v>
      </c>
      <c r="D33" s="53" t="s">
        <v>214</v>
      </c>
      <c r="E33" s="55"/>
      <c r="F33" s="54"/>
      <c r="G33" s="53" t="s">
        <v>197</v>
      </c>
      <c r="H33" s="54"/>
      <c r="I33" s="9" t="s">
        <v>215</v>
      </c>
    </row>
    <row r="34" spans="2:9" ht="18" customHeight="1">
      <c r="B34" s="4"/>
      <c r="C34" s="4"/>
      <c r="D34" s="38"/>
      <c r="E34" s="40"/>
      <c r="F34" s="39"/>
      <c r="G34" s="38"/>
      <c r="H34" s="39"/>
      <c r="I34" s="4"/>
    </row>
    <row r="35" spans="2:9" ht="18" customHeight="1">
      <c r="B35" s="4"/>
      <c r="C35" s="4"/>
      <c r="D35" s="38"/>
      <c r="E35" s="40"/>
      <c r="F35" s="39"/>
      <c r="G35" s="38"/>
      <c r="H35" s="39"/>
      <c r="I35" s="4"/>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31.8" customHeight="1">
      <c r="B40" s="31" t="s">
        <v>89</v>
      </c>
      <c r="C40" s="31"/>
      <c r="D40" s="31"/>
      <c r="E40" s="28" t="str">
        <f>[1]Week_01!E40</f>
        <v>Tôi có SRS hệ thống quản lý hoạt động nhà hàng. Phân loại 10 yêu cầu sau thành FR/NFR và đánh dấu lỗi Ambiguity/Inconsistency/Incompleteness/Untestable: [danh sách yêu cầu]</v>
      </c>
      <c r="F40" s="28"/>
      <c r="G40" s="28"/>
      <c r="H40" s="28"/>
      <c r="I40" s="28"/>
    </row>
    <row r="41" spans="2:9" ht="30.6" customHeight="1">
      <c r="B41" s="21" t="s">
        <v>90</v>
      </c>
      <c r="C41" s="21"/>
      <c r="D41" s="21"/>
      <c r="E41" s="28" t="str">
        <f>[1]Week_01!E41</f>
        <v>AI phân loại đúng 8/10; sai 2: xếp “gửi email xác nhận” thành FR thay vì vừa có FR vừa có NFR bảo mật; bỏ sót Incompleteness trong luồng Google OAuth.</v>
      </c>
      <c r="F41" s="28"/>
      <c r="G41" s="28"/>
      <c r="H41" s="28"/>
      <c r="I41" s="28"/>
    </row>
    <row r="42" spans="2:9" ht="21.75" customHeight="1">
      <c r="B42" s="21" t="s">
        <v>91</v>
      </c>
      <c r="C42" s="21"/>
      <c r="D42" s="21"/>
      <c r="E42" s="28" t="str">
        <f>[1]Week_01!E42</f>
        <v>Giữ kết quả đúng, sửa 2 lỗi phân loại, bổ sung 3 mục NFR bảo mật vào SRS_Analysis.xlsx.</v>
      </c>
      <c r="F42" s="28"/>
      <c r="G42" s="28"/>
      <c r="H42" s="28"/>
      <c r="I42" s="28"/>
    </row>
    <row r="43" spans="2:9" ht="21.75" customHeight="1">
      <c r="B43" s="21" t="s">
        <v>92</v>
      </c>
      <c r="C43" s="21"/>
      <c r="D43" s="21"/>
      <c r="E43" s="28" t="str">
        <f>[1]Week_01!E43</f>
        <v>GV review đạt, có ghi chú sửa 2 điểm; deliverable hoàn chỉnh</v>
      </c>
      <c r="F43" s="28"/>
      <c r="G43" s="28"/>
      <c r="H43" s="28"/>
      <c r="I43" s="28"/>
    </row>
    <row r="44" spans="2:9" ht="21.75" customHeight="1">
      <c r="B44" s="31" t="s">
        <v>93</v>
      </c>
      <c r="C44" s="31"/>
      <c r="D44" s="31"/>
      <c r="E44" s="28" t="str">
        <f>[1]Week_01!E44</f>
        <v>Generate markdown table template for SRS defect analysis: Defect_ID, Type, Location_in_SRS, Description, Recommendation</v>
      </c>
      <c r="F44" s="28"/>
      <c r="G44" s="28"/>
      <c r="H44" s="28"/>
      <c r="I44" s="28"/>
    </row>
    <row r="45" spans="2:9" ht="21.75" customHeight="1">
      <c r="B45" s="21" t="s">
        <v>90</v>
      </c>
      <c r="C45" s="21"/>
      <c r="D45" s="21"/>
      <c r="E45" s="28" t="str">
        <f>[1]Week_01!E45</f>
        <v>Copilot sinh bảng đúng format nhưng không có dữ liệu mẫu và thiếu cột Severity.</v>
      </c>
      <c r="F45" s="28"/>
      <c r="G45" s="28"/>
      <c r="H45" s="28"/>
      <c r="I45" s="28"/>
    </row>
    <row r="46" spans="2:9" ht="21.75" customHeight="1">
      <c r="B46" s="21" t="s">
        <v>91</v>
      </c>
      <c r="C46" s="21"/>
      <c r="D46" s="21"/>
      <c r="E46" s="28" t="str">
        <f>[1]Week_01!E46</f>
        <v>Thêm cột Severity/Testability, điền 8 dòng dữ liệu thực tế từ SRS hệ thống nhà hàng.</v>
      </c>
      <c r="F46" s="28"/>
      <c r="G46" s="28"/>
      <c r="H46" s="28"/>
      <c r="I46" s="28"/>
    </row>
    <row r="47" spans="2:9" ht="21.75" customHeight="1">
      <c r="B47" s="21" t="s">
        <v>92</v>
      </c>
      <c r="C47" s="21"/>
      <c r="D47" s="21"/>
      <c r="E47" s="28" t="str">
        <f>[1]Week_01!E47</f>
        <v>Bảng dùng được cho deliverable tuần 1; review chéo không còn thiếu cột quan trọng.</v>
      </c>
      <c r="F47" s="28"/>
      <c r="G47" s="28"/>
      <c r="H47" s="28"/>
      <c r="I47" s="28"/>
    </row>
    <row r="48" spans="2:9" ht="36.6" customHeight="1">
      <c r="B48" s="31" t="s">
        <v>94</v>
      </c>
      <c r="C48" s="31"/>
      <c r="D48" s="31"/>
      <c r="E48" s="28" t="str">
        <f>[1]Week_01!E48</f>
        <v>Viết Acceptance Criteria Given-When-Then cho US-01: Là khách hàng, tôi muốn đăng ký tài khoản bằng email để sử dụng hệ thống nhà hàng. Cần ≥ 4 scenario gồm happy path và edge cases.</v>
      </c>
      <c r="F48" s="28"/>
      <c r="G48" s="28"/>
      <c r="H48" s="28"/>
      <c r="I48" s="28"/>
    </row>
    <row r="49" spans="2:9" ht="31.2" customHeight="1">
      <c r="B49" s="21" t="s">
        <v>90</v>
      </c>
      <c r="C49" s="21"/>
      <c r="D49" s="21"/>
      <c r="E49" s="28" t="str">
        <f>[1]Week_01!E49</f>
        <v>AI viết 5 scenario: đăng ký thành công, email sai format, email đã tồn tại, password yếu, confirm không khớp. Thiếu scenario chưa verify email.</v>
      </c>
      <c r="F49" s="28"/>
      <c r="G49" s="28"/>
      <c r="H49" s="28"/>
      <c r="I49" s="28"/>
    </row>
    <row r="50" spans="2:9" ht="21.75" customHeight="1">
      <c r="B50" s="21" t="s">
        <v>91</v>
      </c>
      <c r="C50" s="21"/>
      <c r="D50" s="21"/>
      <c r="E50" s="28" t="str">
        <f>[1]Week_01!E50</f>
        <v>Thêm scenario "chưa verify email → không thể đăng nhập", điều chỉnh sang tiếng Việt, thêm chi tiết BCrypt.</v>
      </c>
      <c r="F50" s="28"/>
      <c r="G50" s="28"/>
      <c r="H50" s="28"/>
      <c r="I50" s="28"/>
    </row>
    <row r="51" spans="2:9" ht="21.75" customHeight="1">
      <c r="B51" s="21" t="s">
        <v>92</v>
      </c>
      <c r="C51" s="21"/>
      <c r="D51" s="21"/>
      <c r="E51" s="28" t="str">
        <f>[1]Week_01!E51</f>
        <v>Test thủ công pass 6/6 scenario, dùng làm mẫu cho các US còn lại</v>
      </c>
      <c r="F51" s="28"/>
      <c r="G51" s="28"/>
      <c r="H51" s="28"/>
      <c r="I51" s="28"/>
    </row>
    <row r="52" spans="2:9" ht="30.6" customHeight="1">
      <c r="B52" s="31" t="s">
        <v>95</v>
      </c>
      <c r="C52" s="31"/>
      <c r="D52" s="31"/>
      <c r="E52" s="28" t="str">
        <f>[1]Week_01!E52</f>
        <v>Giải thích 7 nguyên lý kiểm thử và Agile Testing Quadrants, rồi áp dụng cho module Reservation + QR Ordering của hệ thống quản lý hoạt động nhà hàng.</v>
      </c>
      <c r="F52" s="28"/>
      <c r="G52" s="28"/>
      <c r="H52" s="28"/>
      <c r="I52" s="28"/>
    </row>
    <row r="53" spans="2:9" ht="21.75" customHeight="1">
      <c r="B53" s="21" t="s">
        <v>90</v>
      </c>
      <c r="C53" s="21"/>
      <c r="D53" s="21"/>
      <c r="E53" s="28" t="str">
        <f>[1]Week_01!E53</f>
        <v>Giải thích đúng, ví dụ Cart phù hợp, nhưng chiến lược quá chung chung — chỉ nêu "cập nhật test case định kỳ".</v>
      </c>
      <c r="F53" s="28"/>
      <c r="G53" s="28"/>
      <c r="H53" s="28"/>
      <c r="I53" s="28"/>
    </row>
    <row r="54" spans="2:9" ht="21.75" customHeight="1">
      <c r="B54" s="21" t="s">
        <v>91</v>
      </c>
      <c r="C54" s="21"/>
      <c r="D54" s="21"/>
      <c r="E54" s="28" t="str">
        <f>[1]Week_01!E54</f>
        <v>Bổ sung ví dụ PIT/mutation testing, rotation test case theo sprint, exploratory testing cho luồng đặt bàn và QR order.</v>
      </c>
      <c r="F54" s="28"/>
      <c r="G54" s="28"/>
      <c r="H54" s="28"/>
      <c r="I54" s="28"/>
    </row>
    <row r="55" spans="2:9" ht="21.75" customHeight="1">
      <c r="B55" s="21" t="s">
        <v>92</v>
      </c>
      <c r="C55" s="21"/>
      <c r="D55" s="21"/>
      <c r="E55" s="28" t="str">
        <f>[1]Week_01!E55</f>
        <v>Dùng làm phần lý thuyết báo cáo tuần 1, đồng nghiệp đọc hiểu được</v>
      </c>
      <c r="F55" s="28"/>
      <c r="G55" s="28"/>
      <c r="H55" s="28"/>
      <c r="I55" s="28"/>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23.4" customHeight="1">
      <c r="B60" s="20" t="s">
        <v>99</v>
      </c>
      <c r="C60" s="20"/>
      <c r="D60" s="20"/>
      <c r="E60" s="24" t="str">
        <f>[1]Week_01!E60</f>
        <v>Phân tích tổng quan hệ thống quản lý hoạt động nhà hàng, xác định phạm vi chính gồm: đăng ký/đăng nhập, đặt bàn, quản lý bàn, gọi món bằng QR, thanh toán giả lập, phản hồi khách hàng và quản lý nhân viên. Tổng hợp actor chính gồm Customer, Staff, Manager và Admin. Phân chia module cho từng thành viên và kiểm tra lại sự phù hợp với yêu cầu đề tài.</v>
      </c>
      <c r="F60" s="24"/>
      <c r="G60" s="24"/>
      <c r="H60" s="24"/>
      <c r="I60" s="24"/>
    </row>
    <row r="61" spans="2:9" ht="23.4" customHeight="1">
      <c r="B61" s="20" t="s">
        <v>101</v>
      </c>
      <c r="C61" s="20"/>
      <c r="D61" s="20"/>
      <c r="E61" s="24" t="str">
        <f>[1]Week_01!E61</f>
        <v>ChatGPT-4o phân loại FR/NFR nhanh (tiết kiệm ~1h), gợi ý 3 NFR bảo mật nhóm bỏ sót, sinh AC format GWT cho 2 user story.</v>
      </c>
      <c r="F61" s="24"/>
      <c r="G61" s="24"/>
      <c r="H61" s="24"/>
      <c r="I61" s="24"/>
    </row>
    <row r="62" spans="2:9" ht="30" customHeight="1">
      <c r="B62" s="20" t="s">
        <v>103</v>
      </c>
      <c r="C62" s="20"/>
      <c r="D62" s="20"/>
      <c r="E62" s="24" t="str">
        <f>[1]Week_01!E62</f>
        <v>AI đôi lúc đề xuất quá nhiều chức năng ngoài phạm vi tuần 1 như loyalty point, delivery hoặc hệ thống đa chi nhánh. Một số use case ban đầu còn chung chung, chưa phân biệt rõ quyền của Staff, Manager và Admin.</v>
      </c>
      <c r="F62" s="24"/>
      <c r="G62" s="24"/>
      <c r="H62" s="24"/>
      <c r="I62" s="24"/>
    </row>
    <row r="63" spans="2:9" ht="27" customHeight="1">
      <c r="B63" s="20" t="s">
        <v>105</v>
      </c>
      <c r="C63" s="20"/>
      <c r="D63" s="20"/>
      <c r="E63" s="24" t="str">
        <f>[1]Week_01!E63</f>
        <v>Sẽ đọc kỹ yêu cầu trước khi hỏi AI, ghi rõ constraint của hệ thống để AI không đề xuất chức năng dư thừa. Sẽ lập bảng actor — use case — module ngay từ đầu để nhóm dễ chia việc hơn.</v>
      </c>
      <c r="F63" s="24"/>
      <c r="G63" s="24"/>
      <c r="H63" s="24"/>
      <c r="I63" s="24"/>
    </row>
    <row r="64" spans="2:9" ht="27.6" customHeight="1">
      <c r="B64" s="20" t="s">
        <v>107</v>
      </c>
      <c r="C64" s="20"/>
      <c r="D64" s="20"/>
      <c r="E64" s="24" t="str">
        <f>[1]Week_01!E64</f>
        <v>Khó xác định phạm vi hệ thống vừa đủ, tránh làm quá rộng. Một số nghiệp vụ như đặt bàn, check-in, đổi trạng thái bàn và hủy đặt bàn cần hiểu rõ luồng thực tế của nhà hàng</v>
      </c>
      <c r="F64" s="24"/>
      <c r="G64" s="24"/>
      <c r="H64" s="24"/>
      <c r="I64" s="24"/>
    </row>
    <row r="66" spans="2:9" ht="18" customHeight="1">
      <c r="B66" s="23" t="s">
        <v>109</v>
      </c>
      <c r="C66" s="23"/>
      <c r="D66" s="23"/>
      <c r="E66" s="23"/>
      <c r="F66" s="23"/>
      <c r="G66" s="23"/>
      <c r="H66" s="23"/>
      <c r="I66" s="23"/>
    </row>
    <row r="67" spans="2:9" ht="26.4" customHeight="1">
      <c r="B67" s="20" t="s">
        <v>99</v>
      </c>
      <c r="C67" s="20"/>
      <c r="D67" s="20"/>
      <c r="E67" s="24" t="str">
        <f>[1]Week_01!E67</f>
        <v>Phân tích module xác thực người dùng gồm đăng ký tài khoản, đăng nhập, đăng nhập bằng Google, quên mật khẩu, đổi mật khẩu, xác thực email và cập nhật hồ sơ cá nhân. Xác định dữ liệu cần lưu cho user như username, email, password hash, role, avatar, phone và trạng thái tài khoản.</v>
      </c>
      <c r="F67" s="24"/>
      <c r="G67" s="24"/>
      <c r="H67" s="24"/>
      <c r="I67" s="24"/>
    </row>
    <row r="68" spans="2:9" ht="28.2" customHeight="1">
      <c r="B68" s="20" t="s">
        <v>101</v>
      </c>
      <c r="C68" s="20"/>
      <c r="D68" s="20"/>
      <c r="E68" s="24" t="str">
        <f>[1]Week_01!E68</f>
        <v>GitHub Copilot và ChatGPT hỗ trợ tạo danh sách chức năng authentication, gợi ý bảng dữ liệu Users, Roles, OTP_Tokens, Password_Reset và Google_Accounts. AI cũng hỗ trợ viết mô tả use case cho đăng ký, đăng nhập và quên mật khẩu.</v>
      </c>
      <c r="F68" s="24"/>
      <c r="G68" s="24"/>
      <c r="H68" s="24"/>
      <c r="I68" s="24"/>
    </row>
    <row r="69" spans="2:9" ht="25.8" customHeight="1">
      <c r="B69" s="20" t="s">
        <v>103</v>
      </c>
      <c r="C69" s="20"/>
      <c r="D69" s="20"/>
      <c r="E69" s="24" t="str">
        <f>[1]Week_01!E69</f>
        <v>AI ban đầu chưa tách rõ Users và Customers/Staff. Một số đề xuất chưa phù hợp với SQL Server như kiểu dữ liệu hoặc tên cột chưa thống nhất. AI cũng thiếu phần kiểm tra email đã tồn tại và trạng thái tài khoản bị khóa.</v>
      </c>
      <c r="F69" s="24"/>
      <c r="G69" s="24"/>
      <c r="H69" s="24"/>
      <c r="I69" s="24"/>
    </row>
    <row r="70" spans="2:9" ht="21.6" customHeight="1">
      <c r="B70" s="20" t="s">
        <v>105</v>
      </c>
      <c r="C70" s="20"/>
      <c r="D70" s="20"/>
      <c r="E70" s="24" t="str">
        <f>[1]Week_01!E70</f>
        <v>Khó thiết kế authentication vừa đủ an toàn nhưng không quá phức tạp. Cần phân biệt rõ role dùng để phân quyền và bảng Staff/Customer dùng để lưu thông tin nghiệp vụ riêng.</v>
      </c>
      <c r="F70" s="24"/>
      <c r="G70" s="24"/>
      <c r="H70" s="24"/>
      <c r="I70" s="24"/>
    </row>
    <row r="71" spans="2:9" ht="24.6" customHeight="1">
      <c r="B71" s="20" t="s">
        <v>107</v>
      </c>
      <c r="C71" s="20"/>
      <c r="D71" s="20"/>
      <c r="E71" s="24" t="str">
        <f>[1]Week_01!E71</f>
        <v>Sẽ chuẩn hóa tên bảng, tên cột và quy tắc phân quyền trước khi thiết kế database. Khi dùng AI sẽ yêu cầu xuất kết quả theo đúng SQL Server và đúng phạm vi chức năng nhóm cần làm.</v>
      </c>
      <c r="F71" s="24"/>
      <c r="G71" s="24"/>
      <c r="H71" s="24"/>
      <c r="I71" s="24"/>
    </row>
    <row r="73" spans="2:9" ht="18" customHeight="1">
      <c r="B73" s="23" t="s">
        <v>110</v>
      </c>
      <c r="C73" s="23"/>
      <c r="D73" s="23"/>
      <c r="E73" s="23"/>
      <c r="F73" s="23"/>
      <c r="G73" s="23"/>
      <c r="H73" s="23"/>
      <c r="I73" s="23"/>
    </row>
    <row r="74" spans="2:9" ht="30.6" customHeight="1">
      <c r="B74" s="20" t="s">
        <v>99</v>
      </c>
      <c r="C74" s="20"/>
      <c r="D74" s="20"/>
      <c r="E74" s="21" t="str">
        <f>[1]Week_01!E74</f>
        <v>Phân tích module đặt bàn và quản lý bàn. Xác định các chức năng chính gồm xem bàn trống, đặt bàn, chọn khu VIP, cập nhật đặt bàn, hủy đặt bàn, check-in khách, gán bàn cho khách và theo dõi trạng thái bàn. Vẽ nháp luồng xử lý reservation từ lúc khách đặt bàn đến khi nhân viên xác nhận.</v>
      </c>
      <c r="F74" s="21"/>
      <c r="G74" s="21"/>
      <c r="H74" s="21"/>
      <c r="I74" s="21"/>
    </row>
    <row r="75" spans="2:9" ht="27" customHeight="1">
      <c r="B75" s="20" t="s">
        <v>101</v>
      </c>
      <c r="C75" s="20"/>
      <c r="D75" s="20"/>
      <c r="E75" s="21" t="str">
        <f>[1]Week_01!E75</f>
        <v>ChatGPT hỗ trợ tạo luồng nghiệp vụ reservation, gợi ý các trạng thái như Pending, Confirmed, Checked-in, Completed và Cancelled. AI cũng hỗ trợ viết use case specification cho chức năng Book Reservation và Cancel Reservation.</v>
      </c>
      <c r="F75" s="21"/>
      <c r="G75" s="21"/>
      <c r="H75" s="21"/>
      <c r="I75" s="21"/>
    </row>
    <row r="76" spans="2:9" ht="26.4" customHeight="1">
      <c r="B76" s="20" t="s">
        <v>103</v>
      </c>
      <c r="C76" s="20"/>
      <c r="D76" s="20"/>
      <c r="E76" s="21" t="str">
        <f>[1]Week_01!E76</f>
        <v>AI có lúc đề xuất quy trình thanh toán đặt cọc cho reservation, trong khi hệ thống hiện tại chỉ cần xác nhận đặt bàn và thanh toán sau khi dùng bữa. Một số luồng hủy đặt bàn chưa xét rõ điều kiện thời gian và quyền xử lý của Manager.</v>
      </c>
      <c r="F76" s="21"/>
      <c r="G76" s="21"/>
      <c r="H76" s="21"/>
      <c r="I76" s="21"/>
    </row>
    <row r="77" spans="2:9" ht="26.4" customHeight="1">
      <c r="B77" s="20" t="s">
        <v>105</v>
      </c>
      <c r="C77" s="20"/>
      <c r="D77" s="20"/>
      <c r="E77" s="21" t="str">
        <f>[1]Week_01!E77</f>
        <v>Khó xác định trạng thái bàn và trạng thái đặt bàn khác nhau như thế nào. Ví dụ bàn có thể Available, Occupied, Reserved, Cleaning; còn reservation lại có Pending, Confirmed, Cancelled.</v>
      </c>
      <c r="F77" s="21"/>
      <c r="G77" s="21"/>
      <c r="H77" s="21"/>
      <c r="I77" s="21"/>
    </row>
    <row r="78" spans="2:9" ht="27" customHeight="1">
      <c r="B78" s="20" t="s">
        <v>107</v>
      </c>
      <c r="C78" s="20"/>
      <c r="D78" s="20"/>
      <c r="E78" s="21" t="str">
        <f>[1]Week_01!E78</f>
        <v>Sẽ tách riêng state diagram cho Table và Reservation để tránh nhầm lẫn. Khi prompt AI sẽ ghi rõ “không xử lý đặt cọc” và yêu cầu AI giải thích từng trạng thái theo nghiệp vụ nhà hàng.</v>
      </c>
      <c r="F78" s="21"/>
      <c r="G78" s="21"/>
      <c r="H78" s="21"/>
      <c r="I78" s="21"/>
    </row>
    <row r="80" spans="2:9" ht="18" customHeight="1">
      <c r="B80" s="23" t="s">
        <v>111</v>
      </c>
      <c r="C80" s="23"/>
      <c r="D80" s="23"/>
      <c r="E80" s="23"/>
      <c r="F80" s="23"/>
      <c r="G80" s="23"/>
      <c r="H80" s="23"/>
      <c r="I80" s="23"/>
    </row>
    <row r="81" spans="2:9" ht="33" customHeight="1">
      <c r="B81" s="20" t="s">
        <v>99</v>
      </c>
      <c r="C81" s="20"/>
      <c r="D81" s="20"/>
      <c r="E81" s="21" t="str">
        <f>[1]Week_01!E81</f>
        <v>Phân tích module menu, order, kitchen và payment. Xác định chức năng khách xem menu, quét QR, thêm món vào order, cập nhật/hủy món, nhân viên theo dõi order, bếp cập nhật trạng thái món và hệ thống tạo hóa đơn/thanh toán giả lập. Tổng hợp các bảng dữ liệu liên quan như Dishes, Categories, Orders, Order_Items, Kitchen_Tickets, Bills và Payments.</v>
      </c>
      <c r="F81" s="21"/>
      <c r="G81" s="21"/>
      <c r="H81" s="21"/>
      <c r="I81" s="21"/>
    </row>
    <row r="82" spans="2:9" ht="34.200000000000003" customHeight="1">
      <c r="B82" s="20" t="s">
        <v>101</v>
      </c>
      <c r="C82" s="20"/>
      <c r="D82" s="20"/>
      <c r="E82" s="21" t="str">
        <f>[1]Week_01!E82</f>
        <v>Claude và ChatGPT hỗ trợ chia nhỏ quy trình gọi món từ QR đến bếp, gợi ý trạng thái order như New, Preparing, Served, Cancelled và Paid. AI cũng hỗ trợ rà soát mối quan hệ giữa Order, Order_Item, Dish, Bill và Payment</v>
      </c>
      <c r="F82" s="21"/>
      <c r="G82" s="21"/>
      <c r="H82" s="21"/>
      <c r="I82" s="21"/>
    </row>
    <row r="83" spans="2:9" ht="23.4" customHeight="1">
      <c r="B83" s="20" t="s">
        <v>103</v>
      </c>
      <c r="C83" s="20"/>
      <c r="D83" s="20"/>
      <c r="E83" s="21" t="str">
        <f>[1]Week_01!E83</f>
        <v>AI đôi lúc gộp Order và Bill làm một bảng, làm mất ý nghĩa nghiệp vụ. Một số đề xuất chưa xét trường hợp khách sửa món sau khi bếp đã bắt đầu chuẩn bị. AI cũng thiếu kiểm tra tồn kho nguyên liệu khi món được order.</v>
      </c>
      <c r="F83" s="21"/>
      <c r="G83" s="21"/>
      <c r="H83" s="21"/>
      <c r="I83" s="21"/>
    </row>
    <row r="84" spans="2:9" ht="28.2" customHeight="1">
      <c r="B84" s="20" t="s">
        <v>105</v>
      </c>
      <c r="C84" s="20"/>
      <c r="D84" s="20"/>
      <c r="E84" s="21" t="str">
        <f>[1]Week_01!E84</f>
        <v>Khó phân biệt luồng order của khách và luồng xử lý của bếp. Ngoài ra, việc xác định khi nào được phép hủy món hoặc sửa số lượng món cần có business rule rõ ràng.</v>
      </c>
      <c r="F84" s="21"/>
      <c r="G84" s="21"/>
      <c r="H84" s="21"/>
      <c r="I84" s="21"/>
    </row>
    <row r="85" spans="2:9" ht="28.8" customHeight="1">
      <c r="B85" s="20" t="s">
        <v>107</v>
      </c>
      <c r="C85" s="20"/>
      <c r="D85" s="20"/>
      <c r="E85" s="21" t="str">
        <f>[1]Week_01!E85</f>
        <v>Sẽ viết trước business rule cho order như: món chưa chuẩn bị thì được sửa/hủy, món đang chuẩn bị phải có Staff xác nhận, món đã phục vụ thì không được hủy. Sẽ yêu cầu AI tạo bảng rule trước khi tạo database hoặc diagram.</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220</v>
      </c>
      <c r="F88" s="21"/>
      <c r="G88" s="21"/>
      <c r="H88" s="21"/>
      <c r="I88" s="21"/>
    </row>
    <row r="89" spans="2:9" ht="18" customHeight="1">
      <c r="B89" s="20" t="s">
        <v>101</v>
      </c>
      <c r="C89" s="20"/>
      <c r="D89" s="20"/>
      <c r="E89" s="21" t="s">
        <v>221</v>
      </c>
      <c r="F89" s="21"/>
      <c r="G89" s="21"/>
      <c r="H89" s="21"/>
      <c r="I89" s="21"/>
    </row>
    <row r="90" spans="2:9" ht="18" customHeight="1">
      <c r="B90" s="20" t="s">
        <v>103</v>
      </c>
      <c r="C90" s="20"/>
      <c r="D90" s="20"/>
      <c r="E90" s="21" t="s">
        <v>222</v>
      </c>
      <c r="F90" s="21"/>
      <c r="G90" s="21"/>
      <c r="H90" s="21"/>
      <c r="I90" s="21"/>
    </row>
    <row r="91" spans="2:9" ht="18" customHeight="1">
      <c r="B91" s="20" t="s">
        <v>105</v>
      </c>
      <c r="C91" s="20"/>
      <c r="D91" s="20"/>
      <c r="E91" s="21" t="s">
        <v>223</v>
      </c>
      <c r="F91" s="21"/>
      <c r="G91" s="21"/>
      <c r="H91" s="21"/>
      <c r="I91" s="21"/>
    </row>
    <row r="92" spans="2:9" ht="18" customHeight="1">
      <c r="B92" s="20" t="s">
        <v>107</v>
      </c>
      <c r="C92" s="20"/>
      <c r="D92" s="20"/>
      <c r="E92" s="21" t="s">
        <v>224</v>
      </c>
      <c r="F92" s="21"/>
      <c r="G92" s="21"/>
      <c r="H92" s="21"/>
      <c r="I92" s="21"/>
    </row>
    <row r="94" spans="2:9" ht="15.75" customHeight="1">
      <c r="B94" s="22" t="s">
        <v>113</v>
      </c>
      <c r="C94" s="22"/>
      <c r="D94" s="22"/>
      <c r="E94" s="22"/>
      <c r="F94" s="22"/>
      <c r="G94" s="22"/>
      <c r="H94" s="22"/>
      <c r="I94" s="22"/>
    </row>
  </sheetData>
  <mergeCells count="129">
    <mergeCell ref="D21:F21"/>
    <mergeCell ref="D22:F22"/>
    <mergeCell ref="D23:F23"/>
    <mergeCell ref="G21:H21"/>
    <mergeCell ref="G22:H22"/>
    <mergeCell ref="G23:H23"/>
    <mergeCell ref="D25:F25"/>
    <mergeCell ref="D26:F26"/>
    <mergeCell ref="D27:F27"/>
    <mergeCell ref="G25:H25"/>
    <mergeCell ref="G26:H26"/>
    <mergeCell ref="G27:H27"/>
    <mergeCell ref="B24:I24"/>
    <mergeCell ref="B2:I2"/>
    <mergeCell ref="B3:I3"/>
    <mergeCell ref="B5:I5"/>
    <mergeCell ref="B6:I6"/>
    <mergeCell ref="B17:I17"/>
    <mergeCell ref="B18:I18"/>
    <mergeCell ref="D19:F19"/>
    <mergeCell ref="G19:H19"/>
    <mergeCell ref="B20:I20"/>
    <mergeCell ref="B28:I28"/>
    <mergeCell ref="B32:I32"/>
    <mergeCell ref="B37:I37"/>
    <mergeCell ref="B38:I38"/>
    <mergeCell ref="E39:I39"/>
    <mergeCell ref="B40:D40"/>
    <mergeCell ref="E40:I40"/>
    <mergeCell ref="B41:D41"/>
    <mergeCell ref="E41:I41"/>
    <mergeCell ref="G29:H29"/>
    <mergeCell ref="G30:H30"/>
    <mergeCell ref="G31:H31"/>
    <mergeCell ref="D29:F29"/>
    <mergeCell ref="D30:F30"/>
    <mergeCell ref="G33:H33"/>
    <mergeCell ref="D33:F33"/>
    <mergeCell ref="D34:F34"/>
    <mergeCell ref="D35:F35"/>
    <mergeCell ref="G34:H34"/>
    <mergeCell ref="G35:H35"/>
    <mergeCell ref="B42:D42"/>
    <mergeCell ref="E42:I42"/>
    <mergeCell ref="B43:D43"/>
    <mergeCell ref="E43:I43"/>
    <mergeCell ref="B44:D44"/>
    <mergeCell ref="E44:I44"/>
    <mergeCell ref="B45:D45"/>
    <mergeCell ref="E45:I45"/>
    <mergeCell ref="B46:D46"/>
    <mergeCell ref="E46:I46"/>
    <mergeCell ref="B47:D47"/>
    <mergeCell ref="E47:I47"/>
    <mergeCell ref="B48:D48"/>
    <mergeCell ref="E48:I48"/>
    <mergeCell ref="B49:D49"/>
    <mergeCell ref="E49:I49"/>
    <mergeCell ref="B50:D50"/>
    <mergeCell ref="E50:I50"/>
    <mergeCell ref="B51:D51"/>
    <mergeCell ref="E51:I51"/>
    <mergeCell ref="B52:D52"/>
    <mergeCell ref="E52:I52"/>
    <mergeCell ref="B53:D53"/>
    <mergeCell ref="E53:I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94"/>
  <sheetViews>
    <sheetView showGridLines="0" tabSelected="1" topLeftCell="A85" zoomScale="115" zoomScaleNormal="100" workbookViewId="0">
      <selection activeCell="E93" sqref="E93"/>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51.6" customHeight="1">
      <c r="B8" s="4" t="str">
        <f>[1]Week_02!B8</f>
        <v>12/05/2026</v>
      </c>
      <c r="C8" s="4" t="str">
        <f>[1]Week_02!C8</f>
        <v>A</v>
      </c>
      <c r="D8" s="4" t="str">
        <f>[1]Week_02!D8</f>
        <v>ChatGPT-4o</v>
      </c>
      <c r="E8" s="4" t="str">
        <f>[1]Week_02!E8</f>
        <v>Phân tích yêu cầu UI cho trang Home, Take Out, Catering, Contact &amp; Hours, Careers từ mô tả hệ thống nhà hàng</v>
      </c>
      <c r="F8" s="4" t="str">
        <f>[1]Week_02!F8</f>
        <v>Figma_UI_Pages.fig</v>
      </c>
      <c r="G8" s="4" t="str">
        <f>[1]Week_02!G8</f>
        <v>High</v>
      </c>
      <c r="H8" s="4" t="str">
        <f>[1]Week_02!H8</f>
        <v>Bổ sung Entry/Exit Criteria cụ thể, thêm mục Risks</v>
      </c>
      <c r="I8" s="4" t="str">
        <f>[1]Week_02!I8</f>
        <v>Đối chiếu với flow người dùng và yêu cầu web nhà hàng</v>
      </c>
    </row>
    <row r="9" spans="2:9" ht="50.4" customHeight="1">
      <c r="B9" s="4" t="str">
        <f>[1]Week_02!B9</f>
        <v>12/05/2026</v>
      </c>
      <c r="C9" s="4" t="str">
        <f>[1]Week_02!C9</f>
        <v>B</v>
      </c>
      <c r="D9" s="4" t="str">
        <f>[1]Week_02!D9</f>
        <v>Claude</v>
      </c>
      <c r="E9" s="4" t="str">
        <f>[1]Week_02!E9</f>
        <v>Gợi ý bố cục Figma cho trang Take Out và Catering, gồm menu preview, combo package, CTA đặt món và đặt tiệc</v>
      </c>
      <c r="F9" s="4" t="str">
        <f>[1]Week_02!F9</f>
        <v>Figma_UI_TakeOut_Catering.fig</v>
      </c>
      <c r="G9" s="4" t="str">
        <f>[1]Week_02!G9</f>
        <v>Medium</v>
      </c>
      <c r="H9" s="4" t="str">
        <f>[1]Week_02!H9</f>
        <v>Điều chỉnh màu sắc, spacing, font size, loại bỏ section dư không phù hợp</v>
      </c>
      <c r="I9" s="4" t="str">
        <f>[1]Week_02!I9</f>
        <v>Peer review nội bộ</v>
      </c>
    </row>
    <row r="10" spans="2:9" ht="43.8" customHeight="1">
      <c r="B10" s="4" t="str">
        <f>[1]Week_02!B10</f>
        <v>13/05/2026</v>
      </c>
      <c r="C10" s="4" t="str">
        <f>[1]Week_02!C10</f>
        <v>C</v>
      </c>
      <c r="D10" s="4" t="str">
        <f>[1]Week_02!D10</f>
        <v>ChatGPT-4o</v>
      </c>
      <c r="E10" s="4" t="str">
        <f>[1]Week_02!E10</f>
        <v>Chia actor và use case cho hệ thống quản lý hoạt động nhà hàng: Customer, Staff, Manager, Admin</v>
      </c>
      <c r="F10" s="4" t="str">
        <f>[1]Week_02!F10</f>
        <v>UseCase_Restaurant.drawio</v>
      </c>
      <c r="G10" s="4" t="str">
        <f>[1]Week_02!G10</f>
        <v>Medium</v>
      </c>
      <c r="H10" s="4" t="str">
        <f>[1]Week_02!H10</f>
        <v>Bổ sung use case đặt bàn, QR order, quản lý món, quản lý nhân viên, báo cáo doanh thu</v>
      </c>
      <c r="I10" s="4" t="str">
        <f>[1]Week_02!I10</f>
        <v>So sánh với estimate thực tế tuần 4</v>
      </c>
    </row>
    <row r="11" spans="2:9" ht="63" customHeight="1">
      <c r="B11" s="4" t="str">
        <f>[1]Week_02!B11</f>
        <v>14/05/2026</v>
      </c>
      <c r="C11" s="4" t="str">
        <f>[1]Week_02!C11</f>
        <v>D</v>
      </c>
      <c r="D11" s="4" t="str">
        <f>[1]Week_02!D11</f>
        <v>GitHub Copilot</v>
      </c>
      <c r="E11" s="4" t="str">
        <f>[1]Week_02!E11</f>
        <v>Hỗ trợ xây dựng database tổng quát cho nhà hàng: Users, Roles, Reservations, Tables, Orders, Dishes, Payments</v>
      </c>
      <c r="F11" s="4" t="str">
        <f>[1]Week_02!F11</f>
        <v>Restaurant_Database.sql</v>
      </c>
      <c r="G11" s="4" t="str">
        <f>[1]Week_02!G11</f>
        <v>Low</v>
      </c>
      <c r="H11" s="4" t="str">
        <f>[1]Week_02!H11</f>
        <v>Chỉnh khóa chính, khóa ngoại, tách bảng Users với Customers/Staff, thêm bảng trạng thái</v>
      </c>
      <c r="I11" s="4" t="str">
        <f>[1]Week_02!I11</f>
        <v>Kiểm tra logic quan hệ 1-n, n-n và review bằng ERD</v>
      </c>
    </row>
    <row r="12" spans="2:9" ht="55.2" customHeight="1">
      <c r="B12" s="4" t="str">
        <f>[1]Week_02!B12</f>
        <v>15/05/2026</v>
      </c>
      <c r="C12" s="4" t="str">
        <f>[1]Week_02!C12</f>
        <v>A</v>
      </c>
      <c r="D12" s="4" t="str">
        <f>[1]Week_02!D12</f>
        <v>Claude</v>
      </c>
      <c r="E12" s="4" t="str">
        <f>[1]Week_02!E12</f>
        <v>Rà soát tổng thể UI, use case và database để đảm bảo đồng bộ giữa thiết kế và chức năng hệ thống</v>
      </c>
      <c r="F12" s="4" t="str">
        <f>[1]Week_02!F12</f>
        <v>Notes_Week2.md</v>
      </c>
      <c r="G12" s="4" t="str">
        <f>[1]Week_02!G12</f>
        <v>Low</v>
      </c>
      <c r="H12" s="4" t="str">
        <f>[1]Week_02!H12</f>
        <v>Ghi chú các điểm cần sửa: Contact/Hours, Career form, reservation flow, role permission</v>
      </c>
      <c r="I12" s="4" t="str">
        <f>[1]Week_02!I12</f>
        <v>Team review, kiểm tra lại với requirement chín</v>
      </c>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31.8" customHeight="1">
      <c r="B21" s="4"/>
      <c r="C21" s="4" t="str">
        <f>[1]Week_02!C21</f>
        <v>A</v>
      </c>
      <c r="D21" s="38" t="str">
        <f>[1]Week_02!E21</f>
        <v>Tạo thiết kế UI trang Home gồm hero section, navbar, giới thiệu nhà hàng, gallery, review khách hàng và nút Reservation</v>
      </c>
      <c r="E21" s="40"/>
      <c r="F21" s="39"/>
      <c r="G21" s="38" t="str">
        <f>[1]Week_02!G21</f>
        <v>Figma_UI_Home.fig</v>
      </c>
      <c r="H21" s="39"/>
      <c r="I21" s="4" t="str">
        <f>[1]Week_02!I21</f>
        <v>Thiết kế theo phong cách restaurant landing page</v>
      </c>
    </row>
    <row r="22" spans="2:9" ht="42" customHeight="1">
      <c r="B22" s="4"/>
      <c r="C22" s="4" t="str">
        <f>[1]Week_02!C22</f>
        <v>B</v>
      </c>
      <c r="D22" s="38" t="s">
        <v>219</v>
      </c>
      <c r="E22" s="40"/>
      <c r="F22" s="39"/>
      <c r="G22" s="38" t="str">
        <f>[1]Week_02!G22</f>
        <v>Figma_UI_TakeOut.fig</v>
      </c>
      <c r="H22" s="39"/>
      <c r="I22" s="4" t="str">
        <f>[1]Week_02!I22</f>
        <v>Tập trung vào trải nghiệm khách đặt món mang đi</v>
      </c>
    </row>
    <row r="23" spans="2:9" ht="33.6" customHeight="1">
      <c r="B23" s="4"/>
      <c r="C23" s="4" t="str">
        <f>[1]Week_02!C23</f>
        <v>C</v>
      </c>
      <c r="D23" s="38" t="str">
        <f>[1]Week_02!E23</f>
        <v>Tạo UI trang Catering gồm Corporate Catering và Private Catering, có phần mô tả dịch vụ và form liên hệ</v>
      </c>
      <c r="E23" s="40"/>
      <c r="F23" s="39"/>
      <c r="G23" s="38" t="str">
        <f>[1]Week_02!G23</f>
        <v>Figma_UI_Catering.fig</v>
      </c>
      <c r="H23" s="39"/>
      <c r="I23" s="4" t="str">
        <f>[1]Week_02!I23</f>
        <v>Phân tách rõ 2 nhóm khách hàng</v>
      </c>
    </row>
    <row r="24" spans="2:9" ht="15.75" customHeight="1">
      <c r="B24" s="32" t="s">
        <v>80</v>
      </c>
      <c r="C24" s="32"/>
      <c r="D24" s="32"/>
      <c r="E24" s="32"/>
      <c r="F24" s="32"/>
      <c r="G24" s="32"/>
      <c r="H24" s="32"/>
      <c r="I24" s="32"/>
    </row>
    <row r="25" spans="2:9" ht="18" customHeight="1">
      <c r="B25" s="4"/>
      <c r="C25" s="4" t="str">
        <f>[1]Week_02!C25</f>
        <v>A</v>
      </c>
      <c r="D25" s="38" t="str">
        <f>[1]Week_02!D25</f>
        <v>Cập nhật Test Plan: thêm Testcontainers vào Environmental Needs</v>
      </c>
      <c r="E25" s="40"/>
      <c r="F25" s="39"/>
      <c r="G25" s="38" t="str">
        <f>[1]Week_02!G25</f>
        <v>Figma_UI_Pages.fig</v>
      </c>
      <c r="H25" s="39"/>
      <c r="I25" s="4" t="str">
        <f>[1]Week_02!I25</f>
        <v>Giữ style thống nhất toàn bộ website</v>
      </c>
    </row>
    <row r="26" spans="2:9" ht="18" customHeight="1">
      <c r="B26" s="4"/>
      <c r="C26" s="4" t="str">
        <f>[1]Week_02!C26</f>
        <v>B</v>
      </c>
      <c r="D26" s="38" t="str">
        <f>[1]Week_02!D26</f>
        <v>Điều chỉnh RPN module Payment: tăng Impact lên 5 (business critical)</v>
      </c>
      <c r="E26" s="40"/>
      <c r="F26" s="39"/>
      <c r="G26" s="38" t="str">
        <f>[1]Week_02!G26</f>
        <v>UseCase_Restaurant.drawio</v>
      </c>
      <c r="H26" s="39"/>
      <c r="I26" s="4" t="str">
        <f>[1]Week_02!I26</f>
        <v>Staff xử lý nghiệp vụ; Manager quản lý và báo cáo</v>
      </c>
    </row>
    <row r="27" spans="2:9" ht="18" customHeight="1">
      <c r="B27" s="4"/>
      <c r="C27" s="4" t="str">
        <f>[1]Week_02!C27</f>
        <v>D</v>
      </c>
      <c r="D27" s="38" t="str">
        <f>[1]Week_02!D27</f>
        <v>Thêm cột "Smoke Suite" vào Priority Bucket table</v>
      </c>
      <c r="E27" s="40"/>
      <c r="F27" s="39"/>
      <c r="G27" s="38" t="str">
        <f>[1]Week_02!G27</f>
        <v>Restaurant_Database.sql</v>
      </c>
      <c r="H27" s="39"/>
      <c r="I27" s="4" t="str">
        <f>[1]Week_02!I27</f>
        <v>Tránh nhầm role với thông tin nhân viên</v>
      </c>
    </row>
    <row r="28" spans="2:9" ht="15.75" customHeight="1">
      <c r="B28" s="32" t="s">
        <v>81</v>
      </c>
      <c r="C28" s="32"/>
      <c r="D28" s="32"/>
      <c r="E28" s="32"/>
      <c r="F28" s="32"/>
      <c r="G28" s="32"/>
      <c r="H28" s="32"/>
      <c r="I28" s="32"/>
    </row>
    <row r="29" spans="2:9" ht="40.799999999999997" customHeight="1">
      <c r="B29" s="4"/>
      <c r="C29" s="4" t="str">
        <f>[1]Week_02!C29</f>
        <v>C</v>
      </c>
      <c r="D29" s="38" t="s">
        <v>218</v>
      </c>
      <c r="E29" s="40"/>
      <c r="F29" s="39"/>
      <c r="G29" s="38" t="str">
        <f>[1]Week_02!G29</f>
        <v>Figma_UI_Catering.fig</v>
      </c>
      <c r="H29" s="39"/>
      <c r="I29" s="4" t="str">
        <f>[1]Week_02!I29</f>
        <v>Review lại trên màn hình desktop</v>
      </c>
    </row>
    <row r="30" spans="2:9" ht="37.799999999999997" customHeight="1">
      <c r="B30" s="4"/>
      <c r="C30" s="4" t="str">
        <f>[1]Week_02!C30</f>
        <v>A</v>
      </c>
      <c r="D30" s="38" t="s">
        <v>217</v>
      </c>
      <c r="E30" s="40"/>
      <c r="F30" s="39"/>
      <c r="G30" s="38" t="str">
        <f>[1]Week_02!G30</f>
        <v>TestPlan_Cart.doc</v>
      </c>
      <c r="H30" s="39"/>
      <c r="I30" s="4" t="str">
        <f>[1]Week_02!I30</f>
        <v>Một order có nhiều item, một bill có thể gắn với payment</v>
      </c>
    </row>
    <row r="31" spans="2:9" ht="18" customHeight="1">
      <c r="B31" s="4"/>
      <c r="C31" s="4"/>
      <c r="D31" s="38"/>
      <c r="E31" s="40"/>
      <c r="F31" s="39"/>
      <c r="G31" s="38"/>
      <c r="H31" s="39"/>
      <c r="I31" s="4"/>
    </row>
    <row r="32" spans="2:9" ht="15.75" customHeight="1">
      <c r="B32" s="32" t="s">
        <v>82</v>
      </c>
      <c r="C32" s="32"/>
      <c r="D32" s="32"/>
      <c r="E32" s="32"/>
      <c r="F32" s="32"/>
      <c r="G32" s="32"/>
      <c r="H32" s="32"/>
      <c r="I32" s="32"/>
    </row>
    <row r="33" spans="2:9" ht="18" customHeight="1">
      <c r="B33" s="4"/>
      <c r="C33" s="4" t="str">
        <f>[1]Week_02!C33</f>
        <v>D</v>
      </c>
      <c r="D33" s="38" t="s">
        <v>216</v>
      </c>
      <c r="E33" s="40"/>
      <c r="F33" s="39"/>
      <c r="G33" s="38" t="str">
        <f>[1]Week_02!G33</f>
        <v>NotesWeek2.md</v>
      </c>
      <c r="H33" s="40"/>
      <c r="I33" s="15"/>
    </row>
    <row r="34" spans="2:9" ht="18" customHeight="1">
      <c r="B34" s="4"/>
      <c r="C34" s="4"/>
      <c r="D34" s="38"/>
      <c r="E34" s="40"/>
      <c r="F34" s="39"/>
      <c r="G34" s="38"/>
      <c r="H34" s="40"/>
      <c r="I34" s="39"/>
    </row>
    <row r="35" spans="2:9" ht="18" customHeight="1">
      <c r="B35" s="4"/>
      <c r="C35" s="4"/>
      <c r="D35" s="38"/>
      <c r="E35" s="40"/>
      <c r="F35" s="39"/>
      <c r="G35" s="38"/>
      <c r="H35" s="40"/>
      <c r="I35" s="39"/>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48" customHeight="1">
      <c r="B40" s="31" t="s">
        <v>89</v>
      </c>
      <c r="C40" s="31"/>
      <c r="D40" s="31"/>
      <c r="E40" s="28" t="str">
        <f>[1]Week_02!E40</f>
        <v>Thiết kế cấu trúc UI cho website Restaurant Operations Management System gồm các page Home, Take Out, Catering, Contact &amp; Hours và Careers. Yêu cầu phong cách hiện đại, phù hợp nhà hàng, có navbar, hero section, CTA button, hình ảnh món ăn, thông tin liên hệ và trải nghiệm đặt bàn/đặt món.</v>
      </c>
      <c r="F40" s="28"/>
      <c r="G40" s="28"/>
      <c r="H40" s="28"/>
      <c r="I40" s="28"/>
    </row>
    <row r="41" spans="2:9" ht="40.200000000000003" customHeight="1">
      <c r="B41" s="21" t="s">
        <v>90</v>
      </c>
      <c r="C41" s="21"/>
      <c r="D41" s="21"/>
      <c r="E41" s="28" t="str">
        <f>[1]Week_02!E41</f>
        <v>AI gợi ý được bố cục tổng thể cho từng page, nhưng một số section còn quá chung chung, chưa giống website nhà hàng thực tế. AI cũng đề xuất thêm loyalty point và delivery tracking, vượt ngoài phạm vi nhóm đang làm.</v>
      </c>
      <c r="F41" s="28"/>
      <c r="G41" s="28"/>
      <c r="H41" s="28"/>
      <c r="I41" s="28"/>
    </row>
    <row r="42" spans="2:9" ht="30.6" customHeight="1">
      <c r="B42" s="21" t="s">
        <v>91</v>
      </c>
      <c r="C42" s="21"/>
      <c r="D42" s="21"/>
      <c r="E42" s="28" t="str">
        <f>[1]Week_02!E42</f>
        <v>Giữ lại cấu trúc chính gồm hero, menu preview, CTA, gallery, contact và career form. Loại bỏ chức năng ngoài scope, chỉnh lại layout để phù hợp với Figma và style nhà hàng.</v>
      </c>
      <c r="F42" s="28"/>
      <c r="G42" s="28"/>
      <c r="H42" s="28"/>
      <c r="I42" s="28"/>
    </row>
    <row r="43" spans="2:9" ht="21.75" customHeight="1">
      <c r="B43" s="21" t="s">
        <v>92</v>
      </c>
      <c r="C43" s="21"/>
      <c r="D43" s="21"/>
      <c r="E43" s="28" t="str">
        <f>[1]Week_02!E43</f>
        <v>Review trực tiếp trên Figma, kiểm tra từng page có đủ mục đích sử dụng và không bị lệch scope đề tài.</v>
      </c>
      <c r="F43" s="28"/>
      <c r="G43" s="28"/>
      <c r="H43" s="28"/>
      <c r="I43" s="28"/>
    </row>
    <row r="44" spans="2:9" ht="46.8" customHeight="1">
      <c r="B44" s="31" t="s">
        <v>93</v>
      </c>
      <c r="C44" s="31"/>
      <c r="D44" s="31"/>
      <c r="E44" s="28" t="str">
        <f>[1]Week_02!E44</f>
        <v>Chia actor và use case cho hệ thống quản lý hoạt động nhà hàng. Actor gồm Customer, Staff, Manager và Admin. Chức năng gồm đăng ký, đăng nhập, đặt bàn, chọn khu VIP, gọi món bằng QR, thanh toán, quản lý bàn, quản lý món ăn, quản lý nhân viên, báo cáo doanh thu và phản hồi khách hàng.</v>
      </c>
      <c r="F44" s="28"/>
      <c r="G44" s="28"/>
      <c r="H44" s="28"/>
      <c r="I44" s="28"/>
    </row>
    <row r="45" spans="2:9" ht="33" customHeight="1">
      <c r="B45" s="21" t="s">
        <v>90</v>
      </c>
      <c r="C45" s="21"/>
      <c r="D45" s="21"/>
      <c r="E45" s="28" t="str">
        <f>[1]Week_02!E45</f>
        <v>AI chia được nhiều use case quan trọng nhưng ban đầu bị trùng giữa Staff và Manager. Một số use case như Manage Order, Manage Table và Manage Menu chưa phân biệt rõ ai thao tác và ai phê duyệt.</v>
      </c>
      <c r="F45" s="28"/>
      <c r="G45" s="28"/>
      <c r="H45" s="28"/>
      <c r="I45" s="28"/>
    </row>
    <row r="46" spans="2:9" ht="34.799999999999997" customHeight="1">
      <c r="B46" s="21" t="s">
        <v>91</v>
      </c>
      <c r="C46" s="21"/>
      <c r="D46" s="21"/>
      <c r="E46" s="28" t="str">
        <f>[1]Week_02!E46</f>
        <v>Tách lại Staff phụ trách check-in, seat customer, update order, update table status. Manager phụ trách manage staff, manage menu, view report, approve refund. Admin phụ trách role, permission và system configuration.</v>
      </c>
      <c r="F46" s="28"/>
      <c r="G46" s="28"/>
      <c r="H46" s="28"/>
      <c r="I46" s="28"/>
    </row>
    <row r="47" spans="2:9" ht="21.75" customHeight="1">
      <c r="B47" s="21" t="s">
        <v>92</v>
      </c>
      <c r="C47" s="21"/>
      <c r="D47" s="21"/>
      <c r="E47" s="28" t="str">
        <f>[1]Week_02!E47</f>
        <v>Đối chiếu use case với scope hệ thống nhà hàng và kiểm tra mối liên kết actor — use case trong Draw.io.</v>
      </c>
      <c r="F47" s="28"/>
      <c r="G47" s="28"/>
      <c r="H47" s="28"/>
      <c r="I47" s="28"/>
    </row>
    <row r="48" spans="2:9" ht="31.8" customHeight="1">
      <c r="B48" s="31" t="s">
        <v>94</v>
      </c>
      <c r="C48" s="31"/>
      <c r="D48" s="31"/>
      <c r="E48" s="28" t="str">
        <f>[1]Week_02!E48</f>
        <v>Thiết kế database tổng quát cho hệ thống quản lý nhà hàng gồm authentication, reservation, table management, menu, order, payment, staff management, feedback và report. Yêu cầu có khóa chính, khóa ngoại, quan hệ rõ ràng và phù hợp SQL Server.</v>
      </c>
      <c r="F48" s="28"/>
      <c r="G48" s="28"/>
      <c r="H48" s="28"/>
      <c r="I48" s="28"/>
    </row>
    <row r="49" spans="2:9" ht="36" customHeight="1">
      <c r="B49" s="21" t="s">
        <v>90</v>
      </c>
      <c r="C49" s="21"/>
      <c r="D49" s="21"/>
      <c r="E49" s="28" t="str">
        <f>[1]Week_02!E49</f>
        <v>AI tạo được nhiều bảng cần thiết nhưng ban đầu gộp Users với Staff/Customer, làm database khó mở rộng. Một số bảng trạng thái như Reservation_Status, Table_Status, Payment_Status chưa được tách rõ.</v>
      </c>
      <c r="F49" s="28"/>
      <c r="G49" s="28"/>
      <c r="H49" s="28"/>
      <c r="I49" s="28"/>
    </row>
    <row r="50" spans="2:9" ht="40.200000000000003" customHeight="1">
      <c r="B50" s="21" t="s">
        <v>91</v>
      </c>
      <c r="C50" s="21"/>
      <c r="D50" s="21"/>
      <c r="E50" s="28" t="str">
        <f>[1]Week_02!E50</f>
        <v>Tách Users dùng cho đăng nhập và phân quyền. Customers và Staff lưu thông tin nghiệp vụ riêng. Bổ sung các bảng Reservations, Tables, Orders, Order_Items, Bills, Payments, Dishes, Roles và User_Roles.</v>
      </c>
      <c r="F50" s="28"/>
      <c r="G50" s="28"/>
      <c r="H50" s="28"/>
      <c r="I50" s="28"/>
    </row>
    <row r="51" spans="2:9" ht="29.4" customHeight="1">
      <c r="B51" s="21" t="s">
        <v>92</v>
      </c>
      <c r="C51" s="21"/>
      <c r="D51" s="21"/>
      <c r="E51" s="28" t="str">
        <f>[1]Week_02!E51</f>
        <v>Kiểm tra lại quan hệ 1-n và n-n, rà soát bằng ERD để đảm bảo không thiếu khóa ngoại quan trọng.</v>
      </c>
      <c r="F51" s="28"/>
      <c r="G51" s="28"/>
      <c r="H51" s="28"/>
      <c r="I51" s="28"/>
    </row>
    <row r="52" spans="2:9" ht="31.8" customHeight="1">
      <c r="B52" s="31" t="s">
        <v>95</v>
      </c>
      <c r="C52" s="31"/>
      <c r="D52" s="31"/>
      <c r="E52" s="28" t="str">
        <f>[1]Week_02!E52</f>
        <v>Review giúp tôi sự đồng bộ giữa UI Figma, Use Case Diagram và Database Design cho hệ thống quản lý hoạt động nhà hàng. Kiểm tra xem các page Home, Take Out, Catering, Contact &amp; Hours, Careers có liên quan đúng với chức năng và bảng dữ liệu không.</v>
      </c>
      <c r="F52" s="28"/>
      <c r="G52" s="28"/>
      <c r="H52" s="28"/>
      <c r="I52" s="28"/>
    </row>
    <row r="53" spans="2:9" ht="27.6" customHeight="1">
      <c r="B53" s="21" t="s">
        <v>90</v>
      </c>
      <c r="C53" s="21"/>
      <c r="D53" s="21"/>
      <c r="E53" s="28" t="str">
        <f>[1]Week_02!E53</f>
        <v>AI chỉ ra một số điểm thiếu như Contact &amp; Hours cần liên quan đến support/contact, Careers cần liên quan đến recruitment hoặc staff, Take Out cần liên quan đến order và menu. Tuy nhiên AI chưa biết đầy đủ phạm vi database nhóm đã chọn.</v>
      </c>
      <c r="F53" s="28"/>
      <c r="G53" s="28"/>
      <c r="H53" s="28"/>
      <c r="I53" s="28"/>
    </row>
    <row r="54" spans="2:9" ht="40.200000000000003" customHeight="1">
      <c r="B54" s="21" t="s">
        <v>91</v>
      </c>
      <c r="C54" s="21"/>
      <c r="D54" s="21"/>
      <c r="E54" s="28" t="str">
        <f>[1]Week_02!E54</f>
        <v>Cập nhật ghi chú mapping giữa UI page và chức năng hệ thống. Take Out liên quan Menu/Order, Catering liên quan Contact/Booking, Career liên quan Staff, Contact &amp; Hours liên quan Support/Restaurant Info.</v>
      </c>
      <c r="F54" s="28"/>
      <c r="G54" s="28"/>
      <c r="H54" s="28"/>
      <c r="I54" s="28"/>
    </row>
    <row r="55" spans="2:9" ht="21.75" customHeight="1">
      <c r="B55" s="21" t="s">
        <v>92</v>
      </c>
      <c r="C55" s="21"/>
      <c r="D55" s="21"/>
      <c r="E55" s="28" t="str">
        <f>[1]Week_02!E55</f>
        <v>Team review lại từng page, đảm bảo UI không chỉ đẹp mà còn có chức năng tương ứng trong use case và database.</v>
      </c>
      <c r="F55" s="28"/>
      <c r="G55" s="28"/>
      <c r="H55" s="28"/>
      <c r="I55" s="28"/>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23.4" customHeight="1">
      <c r="B60" s="20" t="s">
        <v>99</v>
      </c>
      <c r="C60" s="20"/>
      <c r="D60" s="20"/>
      <c r="E60" s="24" t="str">
        <f>[1]Week_02!E60</f>
        <v>Thiết kế và rà soát UI tổng thể trên Figma cho các trang chính của website nhà hàng gồm Home, Take Out, Catering, Contact &amp; Hours và Careers. Đồng thời kiểm tra sự thống nhất giữa màu sắc, font chữ, navbar, footer, CTA button và bố cục từng trang.</v>
      </c>
      <c r="F60" s="24"/>
      <c r="G60" s="24"/>
      <c r="H60" s="24"/>
      <c r="I60" s="24"/>
    </row>
    <row r="61" spans="2:9" ht="30" customHeight="1">
      <c r="B61" s="20" t="s">
        <v>101</v>
      </c>
      <c r="C61" s="20"/>
      <c r="D61" s="20"/>
      <c r="E61" s="24" t="str">
        <f>[1]Week_02!E61</f>
        <v>ChatGPT hỗ trợ gợi ý cấu trúc layout cho từng page, cách chia section hợp lý và cách làm UI phù hợp với website nhà hàng. AI cũng giúp đề xuất nội dung cho hero section, CTA và các phần giới thiệu dịch vụ.</v>
      </c>
      <c r="F61" s="24"/>
      <c r="G61" s="24"/>
      <c r="H61" s="24"/>
      <c r="I61" s="24"/>
    </row>
    <row r="62" spans="2:9" ht="24.6" customHeight="1">
      <c r="B62" s="20" t="s">
        <v>103</v>
      </c>
      <c r="C62" s="20"/>
      <c r="D62" s="20"/>
      <c r="E62" s="24" t="str">
        <f>[1]Week_02!E62</f>
        <v>AI đôi lúc đề xuất quá nhiều chức năng ngoài phạm vi như delivery tracking, loyalty point hoặc hệ thống đa chi nhánh. Một số gợi ý UI còn chung chung, chưa bám sát phong cách thương hiệu của nhà hàng.</v>
      </c>
      <c r="F62" s="24"/>
      <c r="G62" s="24"/>
      <c r="H62" s="24"/>
      <c r="I62" s="24"/>
    </row>
    <row r="63" spans="2:9" ht="28.2" customHeight="1">
      <c r="B63" s="20" t="s">
        <v>105</v>
      </c>
      <c r="C63" s="20"/>
      <c r="D63" s="20"/>
      <c r="E63" s="24" t="str">
        <f>[1]Week_02!E63</f>
        <v>Khó giữ style thống nhất giữa nhiều page vì mỗi trang có mục đích khác nhau. Trang Home cần gây ấn tượng, Take Out cần rõ món và hành động đặt món, Catering cần chuyên nghiệp, Careers cần đơn giản và dễ ứng tuyển.</v>
      </c>
      <c r="F63" s="24"/>
      <c r="G63" s="24"/>
      <c r="H63" s="24"/>
      <c r="I63" s="24"/>
    </row>
    <row r="64" spans="2:9" ht="29.4" customHeight="1">
      <c r="B64" s="20" t="s">
        <v>107</v>
      </c>
      <c r="C64" s="20"/>
      <c r="D64" s="20"/>
      <c r="E64" s="24" t="str">
        <f>[1]Week_02!E64</f>
        <v>Thiết kế chi tiết UI cho trang Take Out và Catering trên Figma. Trang Take Out tập trung vào danh sách món, combo, nút đặt món và thông tin nhận hàng. Trang Catering chia thành dịch vụ tiệc công ty và tiệc cá nhân, có phần mô tả dịch vụ và form liên hệ.</v>
      </c>
      <c r="F64" s="24"/>
      <c r="G64" s="24"/>
      <c r="H64" s="24"/>
      <c r="I64" s="24"/>
    </row>
    <row r="66" spans="2:9" ht="18" customHeight="1">
      <c r="B66" s="23" t="s">
        <v>109</v>
      </c>
      <c r="C66" s="23"/>
      <c r="D66" s="23"/>
      <c r="E66" s="23"/>
      <c r="F66" s="23"/>
      <c r="G66" s="23"/>
      <c r="H66" s="23"/>
      <c r="I66" s="23"/>
    </row>
    <row r="67" spans="2:9" ht="36.6" customHeight="1">
      <c r="B67" s="20" t="s">
        <v>99</v>
      </c>
      <c r="C67" s="20"/>
      <c r="D67" s="20"/>
      <c r="E67" s="24" t="str">
        <f>[1]Week_02!E67</f>
        <v>Xây dựng Risk Matrix với RPN cho 6 module chính. Phân loại Smoke/Regression/Full suite.Thiết kế chi tiết UI cho trang Take Out và Catering trên Figma. Trang Take Out tập trung vào danh sách món, combo, nút đặt món và thông tin nhận hàng. Trang Catering chia thành dịch vụ tiệc công ty và tiệc cá nhân, có phần mô tả dịch vụ và form liên hệ.</v>
      </c>
      <c r="F67" s="24"/>
      <c r="G67" s="24"/>
      <c r="H67" s="24"/>
      <c r="I67" s="24"/>
    </row>
    <row r="68" spans="2:9" ht="27.6" customHeight="1">
      <c r="B68" s="20" t="s">
        <v>101</v>
      </c>
      <c r="C68" s="20"/>
      <c r="D68" s="20"/>
      <c r="E68" s="24" t="str">
        <f>[1]Week_02!E68</f>
        <v>Claude và ChatGPT hỗ trợ gợi ý bố cục UI, cách đặt tiêu đề, cách chia nội dung theo section và đề xuất nội dung mô tả dịch vụ. AI cũng giúp nhóm chọn cách trình bày CTA để người dùng dễ thao tác.</v>
      </c>
      <c r="F68" s="24"/>
      <c r="G68" s="24"/>
      <c r="H68" s="24"/>
      <c r="I68" s="24"/>
    </row>
    <row r="69" spans="2:9" ht="27.6" customHeight="1">
      <c r="B69" s="20" t="s">
        <v>103</v>
      </c>
      <c r="C69" s="20"/>
      <c r="D69" s="20"/>
      <c r="E69" s="24" t="str">
        <f>[1]Week_02!E69</f>
        <v>AI tạo nội dung khá dài, chưa phù hợp với UI vì làm page bị rối. Một số gợi ý chưa đúng với nghiệp vụ nhà hàng của nhóm, ví dụ đề xuất giao hàng chi tiết trong khi nhóm chỉ tập trung Take Out cơ bản.</v>
      </c>
      <c r="F69" s="24"/>
      <c r="G69" s="24"/>
      <c r="H69" s="24"/>
      <c r="I69" s="24"/>
    </row>
    <row r="70" spans="2:9" ht="18" customHeight="1">
      <c r="B70" s="20" t="s">
        <v>105</v>
      </c>
      <c r="C70" s="20"/>
      <c r="D70" s="20"/>
      <c r="E70" s="24" t="str">
        <f>[1]Week_02!E70</f>
        <v>Khó cân bằng giữa giao diện đẹp và đầy đủ thông tin. Nếu đưa quá nhiều text thì UI nặng, nhưng nếu quá ít thì người dùng không hiểu rõ dịch vụ.</v>
      </c>
      <c r="F70" s="24"/>
      <c r="G70" s="24"/>
      <c r="H70" s="24"/>
      <c r="I70" s="24"/>
    </row>
    <row r="71" spans="2:9" ht="18" customHeight="1">
      <c r="B71" s="20" t="s">
        <v>107</v>
      </c>
      <c r="C71" s="20"/>
      <c r="D71" s="20"/>
      <c r="E71" s="24" t="str">
        <f>[1]Week_02!E71</f>
        <v>Sẽ viết trước wireframe đơn giản rồi mới nhờ AI cải thiện nội dung. Ngoài ra sẽ yêu cầu AI viết text ngắn gọn theo từng section để dễ đưa vào Figma.</v>
      </c>
      <c r="F71" s="24"/>
      <c r="G71" s="24"/>
      <c r="H71" s="24"/>
      <c r="I71" s="24"/>
    </row>
    <row r="73" spans="2:9" ht="18" customHeight="1">
      <c r="B73" s="23" t="s">
        <v>110</v>
      </c>
      <c r="C73" s="23"/>
      <c r="D73" s="23"/>
      <c r="E73" s="23"/>
      <c r="F73" s="23"/>
      <c r="G73" s="23"/>
      <c r="H73" s="23"/>
      <c r="I73" s="23"/>
    </row>
    <row r="74" spans="2:9" ht="30" customHeight="1">
      <c r="B74" s="20" t="s">
        <v>99</v>
      </c>
      <c r="C74" s="20"/>
      <c r="D74" s="20"/>
      <c r="E74" s="21" t="str">
        <f>[1]Week_02!E74</f>
        <v>Phân tích module đặt bàn và quản lý bàn. Xác định các chức năng chính gồm xem bàn trống, đặt bàn, chọn khu VIP, cập nhật đặt bàn, hủy đặt bàn, check-in khách, gán bàn cho khách và theo dõi trạng thái bàn. Vẽ nháp luồng xử lý reservation từ lúc khách đặt bàn đến khi nhân viên xác nhận.</v>
      </c>
      <c r="F74" s="21"/>
      <c r="G74" s="21"/>
      <c r="H74" s="21"/>
      <c r="I74" s="21"/>
    </row>
    <row r="75" spans="2:9" ht="30.6" customHeight="1">
      <c r="B75" s="20" t="s">
        <v>101</v>
      </c>
      <c r="C75" s="20"/>
      <c r="D75" s="20"/>
      <c r="E75" s="21" t="str">
        <f>[1]Week_02!E75</f>
        <v>ChatGPT hỗ trợ chia actor/use case, gợi ý quan hệ include/extend và giải thích cách nhóm chức năng theo từng actor. AI cũng giúp kiểm tra các use case bị thiếu hoặc bị trùng giữa các vai trò.</v>
      </c>
      <c r="F75" s="21"/>
      <c r="G75" s="21"/>
      <c r="H75" s="21"/>
      <c r="I75" s="21"/>
    </row>
    <row r="76" spans="2:9" ht="28.2" customHeight="1">
      <c r="B76" s="20" t="s">
        <v>103</v>
      </c>
      <c r="C76" s="20"/>
      <c r="D76" s="20"/>
      <c r="E76" s="21" t="str">
        <f>[1]Week_02!E76</f>
        <v>AI ban đầu gộp nhiều chức năng quản lý vào Staff, trong khi thực tế Manager mới có quyền quản lý menu, staff và report. Một số use case như Cancel Order, Approve Refund hoặc Manage Role cần được chỉnh lại cho đúng quyền.</v>
      </c>
      <c r="F76" s="21"/>
      <c r="G76" s="21"/>
      <c r="H76" s="21"/>
      <c r="I76" s="21"/>
    </row>
    <row r="77" spans="2:9" ht="28.8" customHeight="1">
      <c r="B77" s="20" t="s">
        <v>105</v>
      </c>
      <c r="C77" s="20"/>
      <c r="D77" s="20"/>
      <c r="E77" s="21" t="str">
        <f>[1]Week_02!E77</f>
        <v>Khó phân biệt use case nào thuộc Customer, Staff, Manager hoặc Admin. Đặc biệt các chức năng liên quan đến order và reservation có nhiều bước nên dễ bị vẽ quá rối.</v>
      </c>
      <c r="F77" s="21"/>
      <c r="G77" s="21"/>
      <c r="H77" s="21"/>
      <c r="I77" s="21"/>
    </row>
    <row r="78" spans="2:9" ht="18" customHeight="1">
      <c r="B78" s="20" t="s">
        <v>107</v>
      </c>
      <c r="C78" s="20"/>
      <c r="D78" s="20"/>
      <c r="E78" s="21" t="str">
        <f>[1]Week_02!E78</f>
        <v>Sẽ lập bảng actor — chức năng trước khi vẽ diagram. Sau đó mới đưa vào Draw.io để tránh thiếu use case hoặc nối sai actor.</v>
      </c>
      <c r="F78" s="21"/>
      <c r="G78" s="21"/>
      <c r="H78" s="21"/>
      <c r="I78" s="21"/>
    </row>
    <row r="80" spans="2:9" ht="18" customHeight="1">
      <c r="B80" s="23" t="s">
        <v>111</v>
      </c>
      <c r="C80" s="23"/>
      <c r="D80" s="23"/>
      <c r="E80" s="23"/>
      <c r="F80" s="23"/>
      <c r="G80" s="23"/>
      <c r="H80" s="23"/>
      <c r="I80" s="23"/>
    </row>
    <row r="81" spans="2:9" ht="31.2" customHeight="1">
      <c r="B81" s="20" t="s">
        <v>99</v>
      </c>
      <c r="C81" s="20"/>
      <c r="D81" s="20"/>
      <c r="E81" s="21" t="str">
        <f>[1]Week_02!E81</f>
        <v>Phân tích module menu, order, kitchen và payment. Xác định chức năng khách xem menu, quét QR, thêm món vào order, cập nhật/hủy món, nhân viên theo dõi order, bếp cập nhật trạng thái món và hệ thống tạo hóa đơn/thanh toán giả lập. Tổng hợp các bảng dữ liệu liên quan như Dishes, Categories, Orders, Order_Items, Kitchen_Tickets, Bills và Payments.</v>
      </c>
      <c r="F81" s="21"/>
      <c r="G81" s="21"/>
      <c r="H81" s="21"/>
      <c r="I81" s="21"/>
    </row>
    <row r="82" spans="2:9" ht="28.8" customHeight="1">
      <c r="B82" s="20" t="s">
        <v>101</v>
      </c>
      <c r="C82" s="20"/>
      <c r="D82" s="20"/>
      <c r="E82" s="21" t="str">
        <f>[1]Week_02!E82</f>
        <v>GitHub Copilot và ChatGPT hỗ trợ gợi ý danh sách bảng, thuộc tính, khóa chính, khóa ngoại và quan hệ giữa các bảng. AI cũng giúp giải thích vì sao cần tách Users, Customers và Staff để database rõ ràng hơn.</v>
      </c>
      <c r="F82" s="21"/>
      <c r="G82" s="21"/>
      <c r="H82" s="21"/>
      <c r="I82" s="21"/>
    </row>
    <row r="83" spans="2:9" ht="33" customHeight="1">
      <c r="B83" s="20" t="s">
        <v>103</v>
      </c>
      <c r="C83" s="20"/>
      <c r="D83" s="20"/>
      <c r="E83" s="21" t="str">
        <f>[1]Week_02!E83</f>
        <v>AI có lúc tạo quá nhiều bảng không cần thiết, làm database phức tạp hơn phạm vi tuần này. Một số quan hệ ban đầu chưa đúng, ví dụ gộp Order với Bill hoặc chưa tách rõ Role với Staff.</v>
      </c>
      <c r="F83" s="21"/>
      <c r="G83" s="21"/>
      <c r="H83" s="21"/>
      <c r="I83" s="21"/>
    </row>
    <row r="84" spans="2:9" ht="29.4" customHeight="1">
      <c r="B84" s="20" t="s">
        <v>105</v>
      </c>
      <c r="C84" s="20"/>
      <c r="D84" s="20"/>
      <c r="E84" s="21" t="str">
        <f>[1]Week_02!E84</f>
        <v>Khó thiết kế database vừa tổng quát vừa không quá phức tạp. Một số phần như payment, voucher, reservation status và table status cần hiểu rõ nghiệp vụ trước khi tạo bảng.</v>
      </c>
      <c r="F84" s="21"/>
      <c r="G84" s="21"/>
      <c r="H84" s="21"/>
      <c r="I84" s="21"/>
    </row>
    <row r="85" spans="2:9" ht="18" customHeight="1">
      <c r="B85" s="20" t="s">
        <v>107</v>
      </c>
      <c r="C85" s="20"/>
      <c r="D85" s="20"/>
      <c r="E85" s="21" t="str">
        <f>[1]Week_02!E85</f>
        <v>Sẽ bắt đầu từ use case trước, sau đó mới chuyển sang entity/table. Cách này giúp database bám sát chức năng thật hơn và tránh tạo bảng dư.</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225</v>
      </c>
      <c r="F88" s="21"/>
      <c r="G88" s="21"/>
      <c r="H88" s="21"/>
      <c r="I88" s="21"/>
    </row>
    <row r="89" spans="2:9" ht="18" customHeight="1">
      <c r="B89" s="20" t="s">
        <v>101</v>
      </c>
      <c r="C89" s="20"/>
      <c r="D89" s="20"/>
      <c r="E89" s="21" t="s">
        <v>226</v>
      </c>
      <c r="F89" s="21"/>
      <c r="G89" s="21"/>
      <c r="H89" s="21"/>
      <c r="I89" s="21"/>
    </row>
    <row r="90" spans="2:9" ht="18" customHeight="1">
      <c r="B90" s="20" t="s">
        <v>103</v>
      </c>
      <c r="C90" s="20"/>
      <c r="D90" s="20"/>
      <c r="E90" s="21" t="s">
        <v>227</v>
      </c>
      <c r="F90" s="21"/>
      <c r="G90" s="21"/>
      <c r="H90" s="21"/>
      <c r="I90" s="21"/>
    </row>
    <row r="91" spans="2:9" ht="18" customHeight="1">
      <c r="B91" s="20" t="s">
        <v>105</v>
      </c>
      <c r="C91" s="20"/>
      <c r="D91" s="20"/>
      <c r="E91" s="21" t="s">
        <v>233</v>
      </c>
      <c r="F91" s="21"/>
      <c r="G91" s="21"/>
      <c r="H91" s="21"/>
      <c r="I91" s="21"/>
    </row>
    <row r="92" spans="2:9" ht="18" customHeight="1">
      <c r="B92" s="20" t="s">
        <v>107</v>
      </c>
      <c r="C92" s="20"/>
      <c r="D92" s="20"/>
      <c r="E92" s="21" t="s">
        <v>234</v>
      </c>
      <c r="F92" s="21"/>
      <c r="G92" s="21"/>
      <c r="H92" s="21"/>
      <c r="I92" s="21"/>
    </row>
    <row r="94" spans="2:9" ht="15.75" customHeight="1">
      <c r="B94" s="22" t="s">
        <v>114</v>
      </c>
      <c r="C94" s="22"/>
      <c r="D94" s="22"/>
      <c r="E94" s="22"/>
      <c r="F94" s="22"/>
      <c r="G94" s="22"/>
      <c r="H94" s="22"/>
      <c r="I94" s="22"/>
    </row>
  </sheetData>
  <mergeCells count="130">
    <mergeCell ref="D21:F21"/>
    <mergeCell ref="D22:F22"/>
    <mergeCell ref="D23:F23"/>
    <mergeCell ref="G21:H21"/>
    <mergeCell ref="G22:H22"/>
    <mergeCell ref="G23:H23"/>
    <mergeCell ref="D25:F25"/>
    <mergeCell ref="G25:H25"/>
    <mergeCell ref="G26:H26"/>
    <mergeCell ref="D26:F26"/>
    <mergeCell ref="B24:I24"/>
    <mergeCell ref="B2:I2"/>
    <mergeCell ref="B3:I3"/>
    <mergeCell ref="B5:I5"/>
    <mergeCell ref="B6:I6"/>
    <mergeCell ref="B17:I17"/>
    <mergeCell ref="B18:I18"/>
    <mergeCell ref="D19:F19"/>
    <mergeCell ref="G19:H19"/>
    <mergeCell ref="B20:I20"/>
    <mergeCell ref="B37:I37"/>
    <mergeCell ref="B38:I38"/>
    <mergeCell ref="E39:I39"/>
    <mergeCell ref="B40:D40"/>
    <mergeCell ref="E40:I40"/>
    <mergeCell ref="B41:D41"/>
    <mergeCell ref="E41:I41"/>
    <mergeCell ref="G27:H27"/>
    <mergeCell ref="D27:F27"/>
    <mergeCell ref="D29:F29"/>
    <mergeCell ref="G29:H29"/>
    <mergeCell ref="G30:H30"/>
    <mergeCell ref="G31:H31"/>
    <mergeCell ref="D30:F30"/>
    <mergeCell ref="D31:F31"/>
    <mergeCell ref="D33:F33"/>
    <mergeCell ref="G34:I34"/>
    <mergeCell ref="G35:I35"/>
    <mergeCell ref="D34:F34"/>
    <mergeCell ref="D35:F35"/>
    <mergeCell ref="G33:H33"/>
    <mergeCell ref="B28:I28"/>
    <mergeCell ref="B32:I32"/>
    <mergeCell ref="B42:D42"/>
    <mergeCell ref="E42:I42"/>
    <mergeCell ref="B43:D43"/>
    <mergeCell ref="E43:I43"/>
    <mergeCell ref="B44:D44"/>
    <mergeCell ref="E44:I44"/>
    <mergeCell ref="B45:D45"/>
    <mergeCell ref="E45:I45"/>
    <mergeCell ref="B46:D46"/>
    <mergeCell ref="E46:I46"/>
    <mergeCell ref="B47:D47"/>
    <mergeCell ref="E47:I47"/>
    <mergeCell ref="B48:D48"/>
    <mergeCell ref="E48:I48"/>
    <mergeCell ref="B49:D49"/>
    <mergeCell ref="E49:I49"/>
    <mergeCell ref="B50:D50"/>
    <mergeCell ref="E50:I50"/>
    <mergeCell ref="B51:D51"/>
    <mergeCell ref="E51:I51"/>
    <mergeCell ref="B52:D52"/>
    <mergeCell ref="E52:I52"/>
    <mergeCell ref="B53:D53"/>
    <mergeCell ref="E53:I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94"/>
  <sheetViews>
    <sheetView showGridLines="0" topLeftCell="A88" zoomScaleNormal="100" workbookViewId="0">
      <selection activeCell="E91" sqref="E91:I91"/>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27.6" customHeight="1">
      <c r="B8" s="4" t="str">
        <f>[1]Week_03!B8</f>
        <v>19/05/2026</v>
      </c>
      <c r="C8" s="4" t="str">
        <f>[1]Week_03!C8</f>
        <v>A</v>
      </c>
      <c r="D8" s="4" t="str">
        <f>[1]Week_03!D8</f>
        <v>ChatGPT-4o</v>
      </c>
      <c r="E8" s="4" t="str">
        <f>[1]Week_03!E8</f>
        <v>Thiết kế test case EP/BVA cho field Số lượng mua trong giỏ hàng</v>
      </c>
      <c r="F8" s="4" t="str">
        <f>[1]Week_03!F8</f>
        <v>Database_Schema.sql</v>
      </c>
      <c r="G8" s="4" t="str">
        <f>[1]Week_03!G8</f>
        <v>Medium</v>
      </c>
      <c r="H8" s="4" t="str">
        <f>[1]Week_03!H8</f>
        <v>Thêm constraint khóa ngoại, thiết lập giá trị mặc định cho created_at</v>
      </c>
      <c r="I8" s="4" t="str">
        <f>[1]Week_03!I8</f>
        <v>Chạy script unit test kiểm tra ràng buộc (Integrity check)</v>
      </c>
    </row>
    <row r="9" spans="2:9" ht="32.4" customHeight="1">
      <c r="B9" s="4" t="str">
        <f>[1]Week_03!B9</f>
        <v>20/05/2026</v>
      </c>
      <c r="C9" s="4" t="str">
        <f>[1]Week_03!C9</f>
        <v>B</v>
      </c>
      <c r="D9" s="4" t="str">
        <f>[1]Week_03!D9</f>
        <v>Claude</v>
      </c>
      <c r="E9" s="4" t="str">
        <f>[1]Week_03!E9</f>
        <v>Tính năng Login: Kiểm thử luồng đăng nhập (Success/Fail)</v>
      </c>
      <c r="F9" s="4" t="str">
        <f>[1]Week_03!F9</f>
        <v>TestCases_Week1.xls</v>
      </c>
      <c r="G9" s="4" t="str">
        <f>[1]Week_03!G9</f>
        <v>High</v>
      </c>
      <c r="H9" s="4" t="str">
        <f>[1]Week_03!H9</f>
        <v>Bổ sung test case cho trường hợp tài khoản bị khóa và sai định dạng email</v>
      </c>
      <c r="I9" s="4" t="str">
        <f>[1]Week_03!I9</f>
        <v>Verify với log hệ thống; test manual qua Postman</v>
      </c>
    </row>
    <row r="10" spans="2:9" ht="28.8" customHeight="1">
      <c r="B10" s="4" t="str">
        <f>[1]Week_03!B10</f>
        <v>21/05/2026</v>
      </c>
      <c r="C10" s="4" t="str">
        <f>[1]Week_03!C10</f>
        <v>C</v>
      </c>
      <c r="D10" s="4" t="str">
        <f>[1]Week_03!D10</f>
        <v>ChatGPT-4o</v>
      </c>
      <c r="E10" s="4" t="str">
        <f>[1]Week_03!E10</f>
        <v>Tính năng Login: Xử lý bảo mật cho Password</v>
      </c>
      <c r="F10" s="4" t="str">
        <f>[1]Week_03!F10</f>
        <v>Security_Test.md</v>
      </c>
      <c r="G10" s="4" t="str">
        <f>[1]Week_03!G10</f>
        <v>Medium</v>
      </c>
      <c r="H10" s="4" t="str">
        <f>[1]Week_03!H10</f>
        <v>Thêm test case cho SQL Injection và Brute-force protection</v>
      </c>
      <c r="I10" s="4" t="str">
        <f>[1]Week_03!I10</f>
        <v>Kiểm tra thời gian delay sau 5 lần nhập sai</v>
      </c>
    </row>
    <row r="11" spans="2:9" ht="31.8" customHeight="1">
      <c r="B11" s="4" t="str">
        <f>[1]Week_03!B11</f>
        <v>22/05/2026</v>
      </c>
      <c r="C11" s="4" t="str">
        <f>[1]Week_03!C11</f>
        <v>D</v>
      </c>
      <c r="D11" s="4" t="str">
        <f>[1]Week_03!D11</f>
        <v>GitHub Copilot</v>
      </c>
      <c r="E11" s="4" t="str">
        <f>[1]Week_03!E11</f>
        <v>Báo cáo tuần đầu: Tổng hợp tiến độ dự án</v>
      </c>
      <c r="F11" s="4" t="str">
        <f>[1]Week_03!F11</f>
        <v>Weekly_Report_W1.docx</v>
      </c>
      <c r="G11" s="4" t="str">
        <f>[1]Week_03!G11</f>
        <v>Low</v>
      </c>
      <c r="H11" s="4" t="str">
        <f>[1]Week_03!H11</f>
        <v>Cập nhật số liệu thực tế, thêm biểu đồ burn-down chart</v>
      </c>
      <c r="I11" s="4" t="str">
        <f>[1]Week_03!I11</f>
        <v>Review với PM xác nhận số liệu</v>
      </c>
    </row>
    <row r="12" spans="2:9" ht="18" customHeight="1">
      <c r="B12" s="4"/>
      <c r="C12" s="4"/>
      <c r="D12" s="4"/>
      <c r="E12" s="4"/>
      <c r="F12" s="4"/>
      <c r="G12" s="4"/>
      <c r="H12" s="4"/>
      <c r="I12" s="4"/>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18" customHeight="1">
      <c r="B21" s="4"/>
      <c r="C21" s="4" t="str">
        <f>[1]Week_03!C21</f>
        <v>A</v>
      </c>
      <c r="D21" s="38" t="str">
        <f>[1]Week_03!E21</f>
        <v>Database schema: Thêm bảng 'Orders' và 'OrderDetails'</v>
      </c>
      <c r="E21" s="40"/>
      <c r="F21" s="39"/>
      <c r="G21" s="38" t="str">
        <f>[1]Week_03!G21</f>
        <v>db_schema.sql</v>
      </c>
      <c r="H21" s="39"/>
      <c r="I21" s="4" t="str">
        <f>[1]Week_03!I21</f>
        <v>Coverage: 95%</v>
      </c>
    </row>
    <row r="22" spans="2:9" ht="18" customHeight="1">
      <c r="B22" s="4"/>
      <c r="C22" s="4" t="str">
        <f>[1]Week_03!C22</f>
        <v>C</v>
      </c>
      <c r="D22" s="38" t="str">
        <f>[1]Week_03!E22</f>
        <v>Login: Triển khai JWT Token cho API xác thực</v>
      </c>
      <c r="E22" s="40"/>
      <c r="F22" s="39"/>
      <c r="G22" s="38" t="str">
        <f>[1]Week_03!G22</f>
        <v>AuthService.java</v>
      </c>
      <c r="H22" s="39"/>
      <c r="I22" s="4" t="str">
        <f>[1]Week_03!I22</f>
        <v>Tích hợp Spring Security</v>
      </c>
    </row>
    <row r="23" spans="2:9" ht="18" customHeight="1">
      <c r="B23" s="4"/>
      <c r="C23" s="4" t="str">
        <f>[1]Week_03!C23</f>
        <v>B</v>
      </c>
      <c r="D23" s="38" t="str">
        <f>[1]Week_03!E23</f>
        <v>Báo cáo: Khởi tạo khung báo cáo tuần đầu</v>
      </c>
      <c r="E23" s="40"/>
      <c r="F23" s="39"/>
      <c r="G23" s="38" t="str">
        <f>[1]Week_03!G23</f>
        <v>Week1_Report.docx</v>
      </c>
      <c r="H23" s="39"/>
      <c r="I23" s="4" t="str">
        <f>[1]Week_03!I23</f>
        <v>Hoàn thành 30%</v>
      </c>
    </row>
    <row r="24" spans="2:9" ht="15.75" customHeight="1">
      <c r="B24" s="32" t="s">
        <v>80</v>
      </c>
      <c r="C24" s="32"/>
      <c r="D24" s="32"/>
      <c r="E24" s="32"/>
      <c r="F24" s="32"/>
      <c r="G24" s="32"/>
      <c r="H24" s="32"/>
      <c r="I24" s="32"/>
    </row>
    <row r="25" spans="2:9" ht="18" customHeight="1">
      <c r="B25" s="4"/>
      <c r="C25" s="4" t="str">
        <f>[1]Week_03!C25</f>
        <v>A</v>
      </c>
      <c r="D25" s="38" t="str">
        <f>[1]Week_03!E25</f>
        <v>Database: Thêm index cho trường 'email' để tối ưu login</v>
      </c>
      <c r="E25" s="40"/>
      <c r="F25" s="39"/>
      <c r="G25" s="38" t="str">
        <f>[1]Week_03!G25</f>
        <v>db_schema.sql</v>
      </c>
      <c r="H25" s="39"/>
      <c r="I25" s="4" t="str">
        <f>[1]Week_03!I25</f>
        <v>Cải thiện performance</v>
      </c>
    </row>
    <row r="26" spans="2:9" ht="18" customHeight="1">
      <c r="B26" s="4"/>
      <c r="C26" s="4" t="str">
        <f>[1]Week_03!C26</f>
        <v>D</v>
      </c>
      <c r="D26" s="38" t="str">
        <f>[1]Week_03!E26</f>
        <v>Login: Cập nhật logic đếm số lần nhập sai mật khẩu</v>
      </c>
      <c r="E26" s="40"/>
      <c r="F26" s="39"/>
      <c r="G26" s="38" t="str">
        <f>[1]Week_03!G26</f>
        <v>TestCases_Week3.xlsx</v>
      </c>
      <c r="H26" s="39"/>
      <c r="I26" s="4" t="str">
        <f>[1]Week_03!I26</f>
        <v>Tăng cường bảo mật</v>
      </c>
    </row>
    <row r="27" spans="2:9" ht="18" customHeight="1">
      <c r="B27" s="4"/>
      <c r="C27" s="4"/>
      <c r="D27" s="4"/>
      <c r="E27" s="4"/>
      <c r="F27" s="4"/>
      <c r="G27" s="4"/>
      <c r="H27" s="4"/>
      <c r="I27" s="4"/>
    </row>
    <row r="28" spans="2:9" ht="15.75" customHeight="1">
      <c r="B28" s="32" t="s">
        <v>81</v>
      </c>
      <c r="C28" s="32"/>
      <c r="D28" s="32"/>
      <c r="E28" s="32"/>
      <c r="F28" s="32"/>
      <c r="G28" s="32"/>
      <c r="H28" s="32"/>
      <c r="I28" s="32"/>
    </row>
    <row r="29" spans="2:9" ht="18" customHeight="1">
      <c r="B29" s="4"/>
      <c r="C29" s="4" t="str">
        <f>[1]Week_03!C29</f>
        <v>B</v>
      </c>
      <c r="D29" s="38" t="str">
        <f>[1]Week_03!E29</f>
        <v>Database: Fix lỗi kiểu dữ liệu 'price' (int → decimal)</v>
      </c>
      <c r="E29" s="40"/>
      <c r="F29" s="39"/>
      <c r="G29" s="38" t="str">
        <f>[1]Week_03!G29</f>
        <v>db_schema.sql</v>
      </c>
      <c r="H29" s="39"/>
      <c r="I29" s="4" t="str">
        <f>[1]Week_03!I29</f>
        <v>Chỉnh sửa ràng buộc</v>
      </c>
    </row>
    <row r="30" spans="2:9" ht="18" customHeight="1">
      <c r="B30" s="4"/>
      <c r="C30" s="4" t="str">
        <f>[1]Week_03!C30</f>
        <v>A</v>
      </c>
      <c r="D30" s="38" t="str">
        <f>[1]Week_03!E30</f>
        <v>Login: Fix lỗi session không hết hạn khi logout</v>
      </c>
      <c r="E30" s="40"/>
      <c r="F30" s="39"/>
      <c r="G30" s="38" t="str">
        <f>[1]Week_03!G30</f>
        <v>AuthService.java</v>
      </c>
      <c r="H30" s="39"/>
      <c r="I30" s="4" t="str">
        <f>[1]Week_03!I30</f>
        <v>Chỉnh sửa ràng buộc</v>
      </c>
    </row>
    <row r="31" spans="2:9" ht="18" customHeight="1">
      <c r="B31" s="4"/>
      <c r="C31" s="4"/>
      <c r="D31" s="4"/>
      <c r="E31" s="4"/>
      <c r="F31" s="4"/>
      <c r="G31" s="4"/>
      <c r="H31" s="4"/>
      <c r="I31" s="4"/>
    </row>
    <row r="32" spans="2:9" ht="15.75" customHeight="1">
      <c r="B32" s="32" t="s">
        <v>82</v>
      </c>
      <c r="C32" s="32"/>
      <c r="D32" s="32"/>
      <c r="E32" s="32"/>
      <c r="F32" s="32"/>
      <c r="G32" s="32"/>
      <c r="H32" s="32"/>
      <c r="I32" s="32"/>
    </row>
    <row r="33" spans="2:9" ht="18" customHeight="1">
      <c r="B33" s="4"/>
      <c r="C33" s="4" t="s">
        <v>54</v>
      </c>
      <c r="D33" s="38" t="str">
        <f>[1]Week_03!E33</f>
        <v>Báo cáo: Xóa các draft ghi chú nháp trong báo cáo</v>
      </c>
      <c r="E33" s="40"/>
      <c r="F33" s="39"/>
      <c r="G33" s="38" t="str">
        <f>[1]Week_03!G33</f>
        <v>Week1_Report.docx</v>
      </c>
      <c r="H33" s="39"/>
      <c r="I33" s="4" t="str">
        <f>[1]Week_03!$I$33</f>
        <v>Dọn dẹp tài liệu</v>
      </c>
    </row>
    <row r="34" spans="2:9" ht="18" customHeight="1">
      <c r="B34" s="4"/>
      <c r="C34" s="4"/>
      <c r="D34" s="4"/>
      <c r="E34" s="4"/>
      <c r="F34" s="4"/>
      <c r="G34" s="4"/>
      <c r="H34" s="4"/>
      <c r="I34" s="4"/>
    </row>
    <row r="35" spans="2:9" ht="18" customHeight="1">
      <c r="B35" s="4"/>
      <c r="C35" s="4"/>
      <c r="D35" s="4"/>
      <c r="E35" s="4"/>
      <c r="F35" s="4"/>
      <c r="G35" s="4"/>
      <c r="H35" s="4"/>
      <c r="I35" s="4"/>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21.75" customHeight="1">
      <c r="B40" s="31" t="s">
        <v>89</v>
      </c>
      <c r="C40" s="31"/>
      <c r="D40" s="31"/>
      <c r="E40" s="35" t="str">
        <f>[1]Week_03!E40</f>
        <v>Thiết kế ERD cho dự án quản lý đơn hàng, xác định các thực thể và mối quan hệ chính.</v>
      </c>
      <c r="F40" s="36"/>
      <c r="G40" s="36"/>
      <c r="H40" s="36"/>
      <c r="I40" s="37"/>
    </row>
    <row r="41" spans="2:9" ht="21.75" customHeight="1">
      <c r="B41" s="21" t="s">
        <v>90</v>
      </c>
      <c r="C41" s="21"/>
      <c r="D41" s="21"/>
      <c r="E41" s="16" t="str">
        <f>[1]Week_03!E41</f>
        <v>Cung cấp sơ đồ thực thể chính xác, cần điều chỉnh thêm khóa ngoại.</v>
      </c>
      <c r="F41" s="17"/>
      <c r="G41" s="17"/>
      <c r="H41" s="17"/>
      <c r="I41" s="14"/>
    </row>
    <row r="42" spans="2:9" ht="21.75" customHeight="1">
      <c r="B42" s="21" t="s">
        <v>91</v>
      </c>
      <c r="C42" s="21"/>
      <c r="D42" s="21"/>
      <c r="E42" s="25" t="str">
        <f>[1]Week_03!E42</f>
        <v>Sử dụng ERD làm base để thiết kế database thực tế.</v>
      </c>
      <c r="F42" s="26"/>
      <c r="G42" s="26"/>
      <c r="H42" s="26"/>
      <c r="I42" s="27"/>
    </row>
    <row r="43" spans="2:9" ht="21.75" customHeight="1">
      <c r="B43" s="21" t="s">
        <v>92</v>
      </c>
      <c r="C43" s="21"/>
      <c r="D43" s="21"/>
      <c r="E43" s="25" t="str">
        <f>[1]Week_03!E43</f>
        <v>Pass - Database đã đồng bộ.</v>
      </c>
      <c r="F43" s="26"/>
      <c r="G43" s="26"/>
      <c r="H43" s="26"/>
      <c r="I43" s="27"/>
    </row>
    <row r="44" spans="2:9" ht="21.75" customHeight="1">
      <c r="B44" s="31" t="s">
        <v>93</v>
      </c>
      <c r="C44" s="31"/>
      <c r="D44" s="31"/>
      <c r="E44" s="25" t="str">
        <f>[1]Week_03!E44</f>
        <v>Viết unit test cho hàm kiểm tra định dạng email và mật khẩu trong tính năng login bằng Java JUnit.</v>
      </c>
      <c r="F44" s="26"/>
      <c r="G44" s="26"/>
      <c r="H44" s="26"/>
      <c r="I44" s="27"/>
    </row>
    <row r="45" spans="2:9" ht="21.75" customHeight="1">
      <c r="B45" s="21" t="s">
        <v>90</v>
      </c>
      <c r="C45" s="21"/>
      <c r="D45" s="21"/>
      <c r="E45" s="25" t="str">
        <f>[1]Week_03!E45</f>
        <v>Code mẫu chạy tốt, cần tùy chỉnh lại regex cho khớp với yêu cầu dự án.</v>
      </c>
      <c r="F45" s="26"/>
      <c r="G45" s="26"/>
      <c r="H45" s="26"/>
      <c r="I45" s="27"/>
    </row>
    <row r="46" spans="2:9" ht="21.75" customHeight="1">
      <c r="B46" s="21" t="s">
        <v>91</v>
      </c>
      <c r="C46" s="21"/>
      <c r="D46" s="21"/>
      <c r="E46" s="25" t="str">
        <f>[1]Week_03!E46</f>
        <v>Tích hợp code test vào dự án, thêm các case biên.</v>
      </c>
      <c r="F46" s="26"/>
      <c r="G46" s="26"/>
      <c r="H46" s="26"/>
      <c r="I46" s="27"/>
    </row>
    <row r="47" spans="2:9" ht="21.75" customHeight="1">
      <c r="B47" s="21" t="s">
        <v>92</v>
      </c>
      <c r="C47" s="21"/>
      <c r="D47" s="21"/>
      <c r="E47" s="16" t="str">
        <f>[1]Week_03!E47</f>
        <v>Pass - Test coverage tăng.</v>
      </c>
      <c r="F47" s="17"/>
      <c r="G47" s="17"/>
      <c r="H47" s="17"/>
      <c r="I47" s="14"/>
    </row>
    <row r="48" spans="2:9" ht="21.75" customHeight="1">
      <c r="B48" s="31" t="s">
        <v>94</v>
      </c>
      <c r="C48" s="31"/>
      <c r="D48" s="31"/>
      <c r="E48" s="25" t="str">
        <f>[1]Week_03!E48</f>
        <v>Tóm tắt các điểm quan trọng nhất của báo cáo tuần 1 để chuẩn bị cho buổi họp team.</v>
      </c>
      <c r="F48" s="26"/>
      <c r="G48" s="26"/>
      <c r="H48" s="26"/>
      <c r="I48" s="27"/>
    </row>
    <row r="49" spans="2:9" ht="21.75" customHeight="1">
      <c r="B49" s="21" t="s">
        <v>90</v>
      </c>
      <c r="C49" s="21"/>
      <c r="D49" s="21"/>
      <c r="E49" s="25" t="str">
        <f>[1]Week_03!E49</f>
        <v>Tóm tắt súc tích, làm nổi bật các cột mốc đã hoàn thành.</v>
      </c>
      <c r="F49" s="26"/>
      <c r="G49" s="26"/>
      <c r="H49" s="26"/>
      <c r="I49" s="27"/>
    </row>
    <row r="50" spans="2:9" ht="21.75" customHeight="1">
      <c r="B50" s="21" t="s">
        <v>91</v>
      </c>
      <c r="C50" s="21"/>
      <c r="D50" s="21"/>
      <c r="E50" s="25" t="str">
        <f>[1]Week_03!E50</f>
        <v>Sử dụng làm dàn ý cho slide báo cáo.</v>
      </c>
      <c r="F50" s="26"/>
      <c r="G50" s="26"/>
      <c r="H50" s="26"/>
      <c r="I50" s="27"/>
    </row>
    <row r="51" spans="2:9" ht="21.75" customHeight="1">
      <c r="B51" s="21" t="s">
        <v>92</v>
      </c>
      <c r="C51" s="21"/>
      <c r="D51" s="21"/>
      <c r="E51" s="16" t="str">
        <f>[1]Week_03!E51</f>
        <v>Pass - Nội dung báo cáo rõ ràng.</v>
      </c>
      <c r="F51" s="17"/>
      <c r="G51" s="17"/>
      <c r="H51" s="17"/>
      <c r="I51" s="14"/>
    </row>
    <row r="52" spans="2:9" ht="21.75" customHeight="1">
      <c r="B52" s="31" t="s">
        <v>95</v>
      </c>
      <c r="C52" s="31"/>
      <c r="D52" s="31"/>
      <c r="E52" s="19"/>
      <c r="F52" s="17"/>
      <c r="G52" s="17"/>
      <c r="H52" s="17"/>
      <c r="I52" s="14"/>
    </row>
    <row r="53" spans="2:9" ht="21.75" customHeight="1">
      <c r="B53" s="21" t="s">
        <v>90</v>
      </c>
      <c r="C53" s="21"/>
      <c r="D53" s="21"/>
      <c r="E53" s="18"/>
      <c r="F53" s="17"/>
      <c r="G53" s="17"/>
      <c r="H53" s="17"/>
      <c r="I53" s="14"/>
    </row>
    <row r="54" spans="2:9" ht="21.75" customHeight="1">
      <c r="B54" s="21" t="s">
        <v>91</v>
      </c>
      <c r="C54" s="21"/>
      <c r="D54" s="21"/>
      <c r="E54" s="25"/>
      <c r="F54" s="26"/>
      <c r="G54" s="26"/>
      <c r="H54" s="26"/>
      <c r="I54" s="27"/>
    </row>
    <row r="55" spans="2:9" ht="21.75" customHeight="1">
      <c r="B55" s="21" t="s">
        <v>92</v>
      </c>
      <c r="C55" s="21"/>
      <c r="D55" s="21"/>
      <c r="E55" s="25"/>
      <c r="F55" s="26"/>
      <c r="G55" s="26"/>
      <c r="H55" s="26"/>
      <c r="I55" s="27"/>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18" customHeight="1">
      <c r="B60" s="20" t="s">
        <v>99</v>
      </c>
      <c r="C60" s="20"/>
      <c r="D60" s="20"/>
      <c r="E60" s="24" t="str">
        <f>[1]Week_03!E56</f>
        <v>Thiết kế ERD, xây dựng schema, tối ưu index.</v>
      </c>
      <c r="F60" s="24"/>
      <c r="G60" s="24"/>
      <c r="H60" s="24"/>
      <c r="I60" s="24"/>
    </row>
    <row r="61" spans="2:9" ht="18" customHeight="1">
      <c r="B61" s="20" t="s">
        <v>101</v>
      </c>
      <c r="C61" s="20"/>
      <c r="D61" s="20"/>
      <c r="E61" s="24" t="str">
        <f>[1]Week_03!E57</f>
        <v>Hỗ trợ vẽ cấu trúc bảng và đề xuất kiểu dữ liệu phù hợp</v>
      </c>
      <c r="F61" s="24"/>
      <c r="G61" s="24"/>
      <c r="H61" s="24"/>
      <c r="I61" s="24"/>
    </row>
    <row r="62" spans="2:9" ht="18" customHeight="1">
      <c r="B62" s="20" t="s">
        <v>103</v>
      </c>
      <c r="C62" s="20"/>
      <c r="D62" s="20"/>
      <c r="E62" s="24" t="str">
        <f>[1]Week_03!E58</f>
        <v>Chưa tối ưu hoàn toàn các ràng buộc phức tạp theo nghiệp vụ cụ thể.</v>
      </c>
      <c r="F62" s="24"/>
      <c r="G62" s="24"/>
      <c r="H62" s="24"/>
      <c r="I62" s="24"/>
    </row>
    <row r="63" spans="2:9" ht="18" customHeight="1">
      <c r="B63" s="20" t="s">
        <v>105</v>
      </c>
      <c r="C63" s="20"/>
      <c r="D63" s="20"/>
      <c r="E63" s="24" t="str">
        <f>[1]Week_03!E59</f>
        <v>Cần kiểm tra kỹ tính toàn vẹn dữ liệu so với yêu cầu thực tế.</v>
      </c>
      <c r="F63" s="24"/>
      <c r="G63" s="24"/>
      <c r="H63" s="24"/>
      <c r="I63" s="24"/>
    </row>
    <row r="64" spans="2:9" ht="18" customHeight="1">
      <c r="B64" s="20" t="s">
        <v>107</v>
      </c>
      <c r="C64" s="20"/>
      <c r="D64" s="20"/>
      <c r="E64" s="24"/>
      <c r="F64" s="24"/>
      <c r="G64" s="24"/>
      <c r="H64" s="24"/>
      <c r="I64" s="24"/>
    </row>
    <row r="66" spans="2:9" ht="18" customHeight="1">
      <c r="B66" s="23" t="s">
        <v>109</v>
      </c>
      <c r="C66" s="23"/>
      <c r="D66" s="23"/>
      <c r="E66" s="23"/>
      <c r="F66" s="23"/>
      <c r="G66" s="23"/>
      <c r="H66" s="23"/>
      <c r="I66" s="23"/>
    </row>
    <row r="67" spans="2:9" ht="18" customHeight="1">
      <c r="B67" s="20" t="s">
        <v>99</v>
      </c>
      <c r="C67" s="20"/>
      <c r="D67" s="20"/>
      <c r="E67" s="24" t="str">
        <f>[1]Week_03!E63</f>
        <v>Xây dựng luồng đăng nhập, test case, bảo mật JWT.</v>
      </c>
      <c r="F67" s="24"/>
      <c r="G67" s="24"/>
      <c r="H67" s="24"/>
      <c r="I67" s="24"/>
    </row>
    <row r="68" spans="2:9" ht="18" customHeight="1">
      <c r="B68" s="20" t="s">
        <v>101</v>
      </c>
      <c r="C68" s="20"/>
      <c r="D68" s="20"/>
      <c r="E68" s="24" t="str">
        <f>[1]Week_03!E64</f>
        <v>Viết code khung (boilerplate) và đề xuất các case kiểm thử.</v>
      </c>
      <c r="F68" s="24"/>
      <c r="G68" s="24"/>
      <c r="H68" s="24"/>
      <c r="I68" s="24"/>
    </row>
    <row r="69" spans="2:9" ht="18" customHeight="1">
      <c r="B69" s="20" t="s">
        <v>103</v>
      </c>
      <c r="C69" s="20"/>
      <c r="D69" s="20"/>
      <c r="E69" s="24" t="str">
        <f>[1]Week_03!E65</f>
        <v>Các case biên (edge cases) chưa được bao quát hết nếu không prompt kỹ.</v>
      </c>
      <c r="F69" s="24"/>
      <c r="G69" s="24"/>
      <c r="H69" s="24"/>
      <c r="I69" s="24"/>
    </row>
    <row r="70" spans="2:9" ht="18" customHeight="1">
      <c r="B70" s="20" t="s">
        <v>105</v>
      </c>
      <c r="C70" s="20"/>
      <c r="D70" s="20"/>
      <c r="E70" s="24" t="str">
        <f>[1]Week_03!E66</f>
        <v>Việc tích hợp logic vào hệ thống sẵn có gặp lỗi xung đột phiên.</v>
      </c>
      <c r="F70" s="24"/>
      <c r="G70" s="24"/>
      <c r="H70" s="24"/>
      <c r="I70" s="24"/>
    </row>
    <row r="71" spans="2:9" ht="18" customHeight="1">
      <c r="B71" s="20" t="s">
        <v>107</v>
      </c>
      <c r="C71" s="20"/>
      <c r="D71" s="20"/>
      <c r="E71" s="24"/>
      <c r="F71" s="24"/>
      <c r="G71" s="24"/>
      <c r="H71" s="24"/>
      <c r="I71" s="24"/>
    </row>
    <row r="73" spans="2:9" ht="18" customHeight="1">
      <c r="B73" s="23" t="s">
        <v>110</v>
      </c>
      <c r="C73" s="23"/>
      <c r="D73" s="23"/>
      <c r="E73" s="23"/>
      <c r="F73" s="23"/>
      <c r="G73" s="23"/>
      <c r="H73" s="23"/>
      <c r="I73" s="23"/>
    </row>
    <row r="74" spans="2:9" ht="18" customHeight="1">
      <c r="B74" s="20" t="s">
        <v>99</v>
      </c>
      <c r="C74" s="20"/>
      <c r="D74" s="20"/>
      <c r="E74" s="21" t="str">
        <f>[1]Week_03!E70</f>
        <v>Tổng hợp tiến độ, phân tích dữ liệu tuần đầu.</v>
      </c>
      <c r="F74" s="21"/>
      <c r="G74" s="21"/>
      <c r="H74" s="21"/>
      <c r="I74" s="21"/>
    </row>
    <row r="75" spans="2:9" ht="18" customHeight="1">
      <c r="B75" s="20" t="s">
        <v>101</v>
      </c>
      <c r="C75" s="20"/>
      <c r="D75" s="20"/>
      <c r="E75" s="21" t="str">
        <f>[1]Week_03!E71</f>
        <v>Hỗ trợ cấu trúc dàn ý và tóm tắt các điểm chính.</v>
      </c>
      <c r="F75" s="21"/>
      <c r="G75" s="21"/>
      <c r="H75" s="21"/>
      <c r="I75" s="21"/>
    </row>
    <row r="76" spans="2:9" ht="18" customHeight="1">
      <c r="B76" s="20" t="s">
        <v>103</v>
      </c>
      <c r="C76" s="20"/>
      <c r="D76" s="20"/>
      <c r="E76" s="21" t="str">
        <f>[1]Week_03!E72</f>
        <v>Văn phong đôi khi còn chung chung, thiếu tính chuyên sâu của báo cáo dự án.</v>
      </c>
      <c r="F76" s="21"/>
      <c r="G76" s="21"/>
      <c r="H76" s="21"/>
      <c r="I76" s="21"/>
    </row>
    <row r="77" spans="2:9" ht="18" customHeight="1">
      <c r="B77" s="20" t="s">
        <v>105</v>
      </c>
      <c r="C77" s="20"/>
      <c r="D77" s="20"/>
      <c r="E77" s="21" t="str">
        <f>[1]Week_03!E73</f>
        <v>Phải đối chiếu số liệu từ nhiều nguồn để đảm bảo tính chính xác.</v>
      </c>
      <c r="F77" s="21"/>
      <c r="G77" s="21"/>
      <c r="H77" s="21"/>
      <c r="I77" s="21"/>
    </row>
    <row r="78" spans="2:9" ht="18" customHeight="1">
      <c r="B78" s="20" t="s">
        <v>107</v>
      </c>
      <c r="C78" s="20"/>
      <c r="D78" s="20"/>
      <c r="E78" s="21" t="str">
        <f>[1]Week_03!E74</f>
        <v>Phân tích module đặt bàn và quản lý bàn. Xác định các chức năng chính gồm xem bàn trống, đặt bàn, chọn khu VIP, cập nhật đặt bàn, hủy đặt bàn, check-in khách, gán bàn cho khách và theo dõi trạng thái bàn. Vẽ nháp luồng xử lý reservation từ lúc khách đặt bàn đến khi nhân viên xác nhận.</v>
      </c>
      <c r="F78" s="21"/>
      <c r="G78" s="21"/>
      <c r="H78" s="21"/>
      <c r="I78" s="21"/>
    </row>
    <row r="80" spans="2:9" ht="18" customHeight="1">
      <c r="B80" s="23" t="s">
        <v>111</v>
      </c>
      <c r="C80" s="23"/>
      <c r="D80" s="23"/>
      <c r="E80" s="23"/>
      <c r="F80" s="23"/>
      <c r="G80" s="23"/>
      <c r="H80" s="23"/>
      <c r="I80" s="23"/>
    </row>
    <row r="81" spans="2:9" ht="18" customHeight="1">
      <c r="B81" s="20" t="s">
        <v>99</v>
      </c>
      <c r="C81" s="20"/>
      <c r="D81" s="20"/>
      <c r="E81" s="21" t="str">
        <f>[1]Week_03!E77</f>
        <v>Thiết kế giao diện và kiểm thử luồng người dùng (User Flow)</v>
      </c>
      <c r="F81" s="21"/>
      <c r="G81" s="21"/>
      <c r="H81" s="21"/>
      <c r="I81" s="21"/>
    </row>
    <row r="82" spans="2:9" ht="18" customHeight="1">
      <c r="B82" s="20" t="s">
        <v>101</v>
      </c>
      <c r="C82" s="20"/>
      <c r="D82" s="20"/>
      <c r="E82" s="21" t="str">
        <f>[1]Week_03!E78</f>
        <v>Gợi ý các layout chuẩn Material Design cho Dashboard.</v>
      </c>
      <c r="F82" s="21"/>
      <c r="G82" s="21"/>
      <c r="H82" s="21"/>
      <c r="I82" s="21"/>
    </row>
    <row r="83" spans="2:9" ht="18" customHeight="1">
      <c r="B83" s="20" t="s">
        <v>103</v>
      </c>
      <c r="C83" s="20"/>
      <c r="D83" s="20"/>
      <c r="E83" s="21" t="str">
        <f>[1]Week_03!E79</f>
        <v>AI gợi ý một số thư viện cũ, chưa tương thích với phiên bản framework hiện tại.</v>
      </c>
      <c r="F83" s="21"/>
      <c r="G83" s="21"/>
      <c r="H83" s="21"/>
      <c r="I83" s="21"/>
    </row>
    <row r="84" spans="2:9" ht="18" customHeight="1">
      <c r="B84" s="20" t="s">
        <v>105</v>
      </c>
      <c r="C84" s="20"/>
      <c r="D84" s="20"/>
      <c r="E84" s="21" t="str">
        <f>[1]Week_03!E80</f>
        <v>Cần điều chỉnh CSS thủ công để giao diện khớp với thiết kế gốc</v>
      </c>
      <c r="F84" s="21"/>
      <c r="G84" s="21"/>
      <c r="H84" s="21"/>
      <c r="I84" s="21"/>
    </row>
    <row r="85" spans="2:9" ht="18" customHeight="1">
      <c r="B85" s="20" t="s">
        <v>107</v>
      </c>
      <c r="C85" s="20"/>
      <c r="D85" s="20"/>
      <c r="E85" s="21" t="str">
        <f>[1]Week_03!E81</f>
        <v>Phân tích module menu, order, kitchen và payment. Xác định chức năng khách xem menu, quét QR, thêm món vào order, cập nhật/hủy món, nhân viên theo dõi order, bếp cập nhật trạng thái món và hệ thống tạo hóa đơn/thanh toán giả lập. Tổng hợp các bảng dữ liệu liên quan như Dishes, Categories, Orders, Order_Items, Kitchen_Tickets, Bills và Payments.</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228</v>
      </c>
      <c r="F88" s="21"/>
      <c r="G88" s="21"/>
      <c r="H88" s="21"/>
      <c r="I88" s="21"/>
    </row>
    <row r="89" spans="2:9" ht="18" customHeight="1">
      <c r="B89" s="20" t="s">
        <v>101</v>
      </c>
      <c r="C89" s="20"/>
      <c r="D89" s="20"/>
      <c r="E89" s="21" t="s">
        <v>229</v>
      </c>
      <c r="F89" s="21"/>
      <c r="G89" s="21"/>
      <c r="H89" s="21"/>
      <c r="I89" s="21"/>
    </row>
    <row r="90" spans="2:9" ht="18" customHeight="1">
      <c r="B90" s="20" t="s">
        <v>103</v>
      </c>
      <c r="C90" s="20"/>
      <c r="D90" s="20"/>
      <c r="E90" s="21" t="s">
        <v>230</v>
      </c>
      <c r="F90" s="21"/>
      <c r="G90" s="21"/>
      <c r="H90" s="21"/>
      <c r="I90" s="21"/>
    </row>
    <row r="91" spans="2:9" ht="18" customHeight="1">
      <c r="B91" s="20" t="s">
        <v>105</v>
      </c>
      <c r="C91" s="20"/>
      <c r="D91" s="20"/>
      <c r="E91" s="21" t="s">
        <v>231</v>
      </c>
      <c r="F91" s="21"/>
      <c r="G91" s="21"/>
      <c r="H91" s="21"/>
      <c r="I91" s="21"/>
    </row>
    <row r="92" spans="2:9" ht="18" customHeight="1">
      <c r="B92" s="20" t="s">
        <v>107</v>
      </c>
      <c r="C92" s="20"/>
      <c r="D92" s="20"/>
      <c r="E92" s="21" t="s">
        <v>232</v>
      </c>
      <c r="F92" s="21"/>
      <c r="G92" s="21"/>
      <c r="H92" s="21"/>
      <c r="I92" s="21"/>
    </row>
    <row r="94" spans="2:9" ht="15.75" customHeight="1">
      <c r="B94" s="22" t="s">
        <v>115</v>
      </c>
      <c r="C94" s="22"/>
      <c r="D94" s="22"/>
      <c r="E94" s="22"/>
      <c r="F94" s="22"/>
      <c r="G94" s="22"/>
      <c r="H94" s="22"/>
      <c r="I94" s="22"/>
    </row>
  </sheetData>
  <mergeCells count="117">
    <mergeCell ref="D21:F21"/>
    <mergeCell ref="D22:F22"/>
    <mergeCell ref="D23:F23"/>
    <mergeCell ref="G21:H21"/>
    <mergeCell ref="G22:H22"/>
    <mergeCell ref="G23:H23"/>
    <mergeCell ref="D25:F25"/>
    <mergeCell ref="D26:F26"/>
    <mergeCell ref="G25:H25"/>
    <mergeCell ref="G26:H26"/>
    <mergeCell ref="B24:I24"/>
    <mergeCell ref="B2:I2"/>
    <mergeCell ref="B3:I3"/>
    <mergeCell ref="B5:I5"/>
    <mergeCell ref="B6:I6"/>
    <mergeCell ref="B17:I17"/>
    <mergeCell ref="B18:I18"/>
    <mergeCell ref="D19:F19"/>
    <mergeCell ref="G19:H19"/>
    <mergeCell ref="B20:I20"/>
    <mergeCell ref="B28:I28"/>
    <mergeCell ref="B32:I32"/>
    <mergeCell ref="B37:I37"/>
    <mergeCell ref="B38:I38"/>
    <mergeCell ref="E39:I39"/>
    <mergeCell ref="B40:D40"/>
    <mergeCell ref="E40:I40"/>
    <mergeCell ref="B41:D41"/>
    <mergeCell ref="G29:H29"/>
    <mergeCell ref="G30:H30"/>
    <mergeCell ref="D29:F29"/>
    <mergeCell ref="D30:F30"/>
    <mergeCell ref="G33:H33"/>
    <mergeCell ref="D33:F33"/>
    <mergeCell ref="B42:D42"/>
    <mergeCell ref="E42:I42"/>
    <mergeCell ref="B43:D43"/>
    <mergeCell ref="E43:I43"/>
    <mergeCell ref="B44:D44"/>
    <mergeCell ref="E44:I44"/>
    <mergeCell ref="B45:D45"/>
    <mergeCell ref="E45:I45"/>
    <mergeCell ref="B46:D46"/>
    <mergeCell ref="E46:I46"/>
    <mergeCell ref="B47:D47"/>
    <mergeCell ref="B48:D48"/>
    <mergeCell ref="E48:I48"/>
    <mergeCell ref="B49:D49"/>
    <mergeCell ref="E49:I49"/>
    <mergeCell ref="B50:D50"/>
    <mergeCell ref="E50:I50"/>
    <mergeCell ref="B51:D51"/>
    <mergeCell ref="B52:D52"/>
    <mergeCell ref="B53:D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94"/>
  <sheetViews>
    <sheetView showGridLines="0" topLeftCell="A4" zoomScaleNormal="100" workbookViewId="0">
      <selection activeCell="E71" sqref="E71:I71"/>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18" customHeight="1">
      <c r="B8" s="4"/>
      <c r="C8" s="4"/>
      <c r="D8" s="4"/>
      <c r="E8" s="4"/>
      <c r="F8" s="4"/>
      <c r="G8" s="4"/>
      <c r="H8" s="4"/>
      <c r="I8" s="4"/>
    </row>
    <row r="9" spans="2:9" ht="18" customHeight="1">
      <c r="B9" s="4"/>
      <c r="C9" s="4"/>
      <c r="D9" s="4"/>
      <c r="E9" s="4"/>
      <c r="F9" s="4"/>
      <c r="G9" s="4"/>
      <c r="H9" s="4"/>
      <c r="I9" s="4"/>
    </row>
    <row r="10" spans="2:9" ht="18" customHeight="1">
      <c r="B10" s="4"/>
      <c r="C10" s="4"/>
      <c r="D10" s="4"/>
      <c r="E10" s="4"/>
      <c r="F10" s="4"/>
      <c r="G10" s="4"/>
      <c r="H10" s="4"/>
      <c r="I10" s="4"/>
    </row>
    <row r="11" spans="2:9" ht="18" customHeight="1">
      <c r="B11" s="4"/>
      <c r="C11" s="4"/>
      <c r="D11" s="4"/>
      <c r="E11" s="4"/>
      <c r="F11" s="4"/>
      <c r="G11" s="4"/>
      <c r="H11" s="4"/>
      <c r="I11" s="4"/>
    </row>
    <row r="12" spans="2:9" ht="18" customHeight="1">
      <c r="B12" s="4"/>
      <c r="C12" s="4"/>
      <c r="D12" s="4"/>
      <c r="E12" s="4"/>
      <c r="F12" s="4"/>
      <c r="G12" s="4"/>
      <c r="H12" s="4"/>
      <c r="I12" s="4"/>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18" customHeight="1">
      <c r="B21" s="4"/>
      <c r="C21" s="4"/>
      <c r="D21" s="4"/>
      <c r="E21" s="4"/>
      <c r="F21" s="4"/>
      <c r="G21" s="4"/>
      <c r="H21" s="4"/>
      <c r="I21" s="4"/>
    </row>
    <row r="22" spans="2:9" ht="18" customHeight="1">
      <c r="B22" s="4"/>
      <c r="C22" s="4"/>
      <c r="D22" s="4"/>
      <c r="E22" s="4"/>
      <c r="F22" s="4"/>
      <c r="G22" s="4"/>
      <c r="H22" s="4"/>
      <c r="I22" s="4"/>
    </row>
    <row r="23" spans="2:9" ht="18" customHeight="1">
      <c r="B23" s="4"/>
      <c r="C23" s="4"/>
      <c r="D23" s="4"/>
      <c r="E23" s="4"/>
      <c r="F23" s="4"/>
      <c r="G23" s="4"/>
      <c r="H23" s="4"/>
      <c r="I23" s="4"/>
    </row>
    <row r="24" spans="2:9" ht="15.75" customHeight="1">
      <c r="B24" s="32" t="s">
        <v>80</v>
      </c>
      <c r="C24" s="32"/>
      <c r="D24" s="32"/>
      <c r="E24" s="32"/>
      <c r="F24" s="32"/>
      <c r="G24" s="32"/>
      <c r="H24" s="32"/>
      <c r="I24" s="32"/>
    </row>
    <row r="25" spans="2:9" ht="18" customHeight="1">
      <c r="B25" s="4"/>
      <c r="C25" s="4"/>
      <c r="D25" s="4"/>
      <c r="E25" s="4"/>
      <c r="F25" s="4"/>
      <c r="G25" s="4"/>
      <c r="H25" s="4"/>
      <c r="I25" s="4"/>
    </row>
    <row r="26" spans="2:9" ht="18" customHeight="1">
      <c r="B26" s="4"/>
      <c r="C26" s="4"/>
      <c r="D26" s="4"/>
      <c r="E26" s="4"/>
      <c r="F26" s="4"/>
      <c r="G26" s="4"/>
      <c r="H26" s="4"/>
      <c r="I26" s="4"/>
    </row>
    <row r="27" spans="2:9" ht="18" customHeight="1">
      <c r="B27" s="4"/>
      <c r="C27" s="4"/>
      <c r="D27" s="4"/>
      <c r="E27" s="4"/>
      <c r="F27" s="4"/>
      <c r="G27" s="4"/>
      <c r="H27" s="4"/>
      <c r="I27" s="4"/>
    </row>
    <row r="28" spans="2:9" ht="15.75" customHeight="1">
      <c r="B28" s="32" t="s">
        <v>81</v>
      </c>
      <c r="C28" s="32"/>
      <c r="D28" s="32"/>
      <c r="E28" s="32"/>
      <c r="F28" s="32"/>
      <c r="G28" s="32"/>
      <c r="H28" s="32"/>
      <c r="I28" s="32"/>
    </row>
    <row r="29" spans="2:9" ht="18" customHeight="1">
      <c r="B29" s="4"/>
      <c r="C29" s="4"/>
      <c r="D29" s="4"/>
      <c r="E29" s="4"/>
      <c r="F29" s="4"/>
      <c r="G29" s="4"/>
      <c r="H29" s="4"/>
      <c r="I29" s="4"/>
    </row>
    <row r="30" spans="2:9" ht="18" customHeight="1">
      <c r="B30" s="4"/>
      <c r="C30" s="4"/>
      <c r="D30" s="4"/>
      <c r="E30" s="4"/>
      <c r="F30" s="4"/>
      <c r="G30" s="4"/>
      <c r="H30" s="4"/>
      <c r="I30" s="4"/>
    </row>
    <row r="31" spans="2:9" ht="18" customHeight="1">
      <c r="B31" s="4"/>
      <c r="C31" s="4"/>
      <c r="D31" s="4"/>
      <c r="E31" s="4"/>
      <c r="F31" s="4"/>
      <c r="G31" s="4"/>
      <c r="H31" s="4"/>
      <c r="I31" s="4"/>
    </row>
    <row r="32" spans="2:9" ht="15.75" customHeight="1">
      <c r="B32" s="32" t="s">
        <v>82</v>
      </c>
      <c r="C32" s="32"/>
      <c r="D32" s="32"/>
      <c r="E32" s="32"/>
      <c r="F32" s="32"/>
      <c r="G32" s="32"/>
      <c r="H32" s="32"/>
      <c r="I32" s="32"/>
    </row>
    <row r="33" spans="2:9" ht="18" customHeight="1">
      <c r="B33" s="4"/>
      <c r="C33" s="4"/>
      <c r="D33" s="4"/>
      <c r="E33" s="4"/>
      <c r="F33" s="4"/>
      <c r="G33" s="4"/>
      <c r="H33" s="4"/>
      <c r="I33" s="4"/>
    </row>
    <row r="34" spans="2:9" ht="18" customHeight="1">
      <c r="B34" s="4"/>
      <c r="C34" s="4"/>
      <c r="D34" s="4"/>
      <c r="E34" s="4"/>
      <c r="F34" s="4"/>
      <c r="G34" s="4"/>
      <c r="H34" s="4"/>
      <c r="I34" s="4"/>
    </row>
    <row r="35" spans="2:9" ht="18" customHeight="1">
      <c r="B35" s="4"/>
      <c r="C35" s="4"/>
      <c r="D35" s="4"/>
      <c r="E35" s="4"/>
      <c r="F35" s="4"/>
      <c r="G35" s="4"/>
      <c r="H35" s="4"/>
      <c r="I35" s="4"/>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21.75" customHeight="1">
      <c r="B40" s="31" t="s">
        <v>89</v>
      </c>
      <c r="C40" s="31"/>
      <c r="D40" s="31"/>
      <c r="E40" s="28"/>
      <c r="F40" s="28"/>
      <c r="G40" s="28"/>
      <c r="H40" s="28"/>
      <c r="I40" s="28"/>
    </row>
    <row r="41" spans="2:9" ht="21.75" customHeight="1">
      <c r="B41" s="21" t="s">
        <v>90</v>
      </c>
      <c r="C41" s="21"/>
      <c r="D41" s="21"/>
      <c r="E41" s="28"/>
      <c r="F41" s="28"/>
      <c r="G41" s="28"/>
      <c r="H41" s="28"/>
      <c r="I41" s="28"/>
    </row>
    <row r="42" spans="2:9" ht="21.75" customHeight="1">
      <c r="B42" s="21" t="s">
        <v>91</v>
      </c>
      <c r="C42" s="21"/>
      <c r="D42" s="21"/>
      <c r="E42" s="28"/>
      <c r="F42" s="28"/>
      <c r="G42" s="28"/>
      <c r="H42" s="28"/>
      <c r="I42" s="28"/>
    </row>
    <row r="43" spans="2:9" ht="21.75" customHeight="1">
      <c r="B43" s="21" t="s">
        <v>92</v>
      </c>
      <c r="C43" s="21"/>
      <c r="D43" s="21"/>
      <c r="E43" s="28"/>
      <c r="F43" s="28"/>
      <c r="G43" s="28"/>
      <c r="H43" s="28"/>
      <c r="I43" s="28"/>
    </row>
    <row r="44" spans="2:9" ht="21.75" customHeight="1">
      <c r="B44" s="31" t="s">
        <v>93</v>
      </c>
      <c r="C44" s="31"/>
      <c r="D44" s="31"/>
      <c r="E44" s="28"/>
      <c r="F44" s="28"/>
      <c r="G44" s="28"/>
      <c r="H44" s="28"/>
      <c r="I44" s="28"/>
    </row>
    <row r="45" spans="2:9" ht="21.75" customHeight="1">
      <c r="B45" s="21" t="s">
        <v>90</v>
      </c>
      <c r="C45" s="21"/>
      <c r="D45" s="21"/>
      <c r="E45" s="28"/>
      <c r="F45" s="28"/>
      <c r="G45" s="28"/>
      <c r="H45" s="28"/>
      <c r="I45" s="28"/>
    </row>
    <row r="46" spans="2:9" ht="21.75" customHeight="1">
      <c r="B46" s="21" t="s">
        <v>91</v>
      </c>
      <c r="C46" s="21"/>
      <c r="D46" s="21"/>
      <c r="E46" s="28"/>
      <c r="F46" s="28"/>
      <c r="G46" s="28"/>
      <c r="H46" s="28"/>
      <c r="I46" s="28"/>
    </row>
    <row r="47" spans="2:9" ht="21.75" customHeight="1">
      <c r="B47" s="21" t="s">
        <v>92</v>
      </c>
      <c r="C47" s="21"/>
      <c r="D47" s="21"/>
      <c r="E47" s="28"/>
      <c r="F47" s="28"/>
      <c r="G47" s="28"/>
      <c r="H47" s="28"/>
      <c r="I47" s="28"/>
    </row>
    <row r="48" spans="2:9" ht="21.75" customHeight="1">
      <c r="B48" s="31" t="s">
        <v>94</v>
      </c>
      <c r="C48" s="31"/>
      <c r="D48" s="31"/>
      <c r="E48" s="28"/>
      <c r="F48" s="28"/>
      <c r="G48" s="28"/>
      <c r="H48" s="28"/>
      <c r="I48" s="28"/>
    </row>
    <row r="49" spans="2:9" ht="21.75" customHeight="1">
      <c r="B49" s="21" t="s">
        <v>90</v>
      </c>
      <c r="C49" s="21"/>
      <c r="D49" s="21"/>
      <c r="E49" s="28"/>
      <c r="F49" s="28"/>
      <c r="G49" s="28"/>
      <c r="H49" s="28"/>
      <c r="I49" s="28"/>
    </row>
    <row r="50" spans="2:9" ht="21.75" customHeight="1">
      <c r="B50" s="21" t="s">
        <v>91</v>
      </c>
      <c r="C50" s="21"/>
      <c r="D50" s="21"/>
      <c r="E50" s="28"/>
      <c r="F50" s="28"/>
      <c r="G50" s="28"/>
      <c r="H50" s="28"/>
      <c r="I50" s="28"/>
    </row>
    <row r="51" spans="2:9" ht="21.75" customHeight="1">
      <c r="B51" s="21" t="s">
        <v>92</v>
      </c>
      <c r="C51" s="21"/>
      <c r="D51" s="21"/>
      <c r="E51" s="28"/>
      <c r="F51" s="28"/>
      <c r="G51" s="28"/>
      <c r="H51" s="28"/>
      <c r="I51" s="28"/>
    </row>
    <row r="52" spans="2:9" ht="21.75" customHeight="1">
      <c r="B52" s="31" t="s">
        <v>95</v>
      </c>
      <c r="C52" s="31"/>
      <c r="D52" s="31"/>
      <c r="E52" s="28"/>
      <c r="F52" s="28"/>
      <c r="G52" s="28"/>
      <c r="H52" s="28"/>
      <c r="I52" s="28"/>
    </row>
    <row r="53" spans="2:9" ht="21.75" customHeight="1">
      <c r="B53" s="21" t="s">
        <v>90</v>
      </c>
      <c r="C53" s="21"/>
      <c r="D53" s="21"/>
      <c r="E53" s="28"/>
      <c r="F53" s="28"/>
      <c r="G53" s="28"/>
      <c r="H53" s="28"/>
      <c r="I53" s="28"/>
    </row>
    <row r="54" spans="2:9" ht="21.75" customHeight="1">
      <c r="B54" s="21" t="s">
        <v>91</v>
      </c>
      <c r="C54" s="21"/>
      <c r="D54" s="21"/>
      <c r="E54" s="28"/>
      <c r="F54" s="28"/>
      <c r="G54" s="28"/>
      <c r="H54" s="28"/>
      <c r="I54" s="28"/>
    </row>
    <row r="55" spans="2:9" ht="21.75" customHeight="1">
      <c r="B55" s="21" t="s">
        <v>92</v>
      </c>
      <c r="C55" s="21"/>
      <c r="D55" s="21"/>
      <c r="E55" s="28"/>
      <c r="F55" s="28"/>
      <c r="G55" s="28"/>
      <c r="H55" s="28"/>
      <c r="I55" s="28"/>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18" customHeight="1">
      <c r="B60" s="20" t="s">
        <v>99</v>
      </c>
      <c r="C60" s="20"/>
      <c r="D60" s="20"/>
      <c r="E60" s="24" t="s">
        <v>100</v>
      </c>
      <c r="F60" s="24"/>
      <c r="G60" s="24"/>
      <c r="H60" s="24"/>
      <c r="I60" s="24"/>
    </row>
    <row r="61" spans="2:9" ht="18" customHeight="1">
      <c r="B61" s="20" t="s">
        <v>101</v>
      </c>
      <c r="C61" s="20"/>
      <c r="D61" s="20"/>
      <c r="E61" s="24" t="s">
        <v>102</v>
      </c>
      <c r="F61" s="24"/>
      <c r="G61" s="24"/>
      <c r="H61" s="24"/>
      <c r="I61" s="24"/>
    </row>
    <row r="62" spans="2:9" ht="18" customHeight="1">
      <c r="B62" s="20" t="s">
        <v>103</v>
      </c>
      <c r="C62" s="20"/>
      <c r="D62" s="20"/>
      <c r="E62" s="24" t="s">
        <v>104</v>
      </c>
      <c r="F62" s="24"/>
      <c r="G62" s="24"/>
      <c r="H62" s="24"/>
      <c r="I62" s="24"/>
    </row>
    <row r="63" spans="2:9" ht="18" customHeight="1">
      <c r="B63" s="20" t="s">
        <v>105</v>
      </c>
      <c r="C63" s="20"/>
      <c r="D63" s="20"/>
      <c r="E63" s="24" t="s">
        <v>106</v>
      </c>
      <c r="F63" s="24"/>
      <c r="G63" s="24"/>
      <c r="H63" s="24"/>
      <c r="I63" s="24"/>
    </row>
    <row r="64" spans="2:9" ht="18" customHeight="1">
      <c r="B64" s="20" t="s">
        <v>107</v>
      </c>
      <c r="C64" s="20"/>
      <c r="D64" s="20"/>
      <c r="E64" s="24" t="s">
        <v>108</v>
      </c>
      <c r="F64" s="24"/>
      <c r="G64" s="24"/>
      <c r="H64" s="24"/>
      <c r="I64" s="24"/>
    </row>
    <row r="66" spans="2:9" ht="18" customHeight="1">
      <c r="B66" s="23" t="s">
        <v>109</v>
      </c>
      <c r="C66" s="23"/>
      <c r="D66" s="23"/>
      <c r="E66" s="23"/>
      <c r="F66" s="23"/>
      <c r="G66" s="23"/>
      <c r="H66" s="23"/>
      <c r="I66" s="23"/>
    </row>
    <row r="67" spans="2:9" ht="18" customHeight="1">
      <c r="B67" s="20" t="s">
        <v>99</v>
      </c>
      <c r="C67" s="20"/>
      <c r="D67" s="20"/>
      <c r="E67" s="24" t="s">
        <v>100</v>
      </c>
      <c r="F67" s="24"/>
      <c r="G67" s="24"/>
      <c r="H67" s="24"/>
      <c r="I67" s="24"/>
    </row>
    <row r="68" spans="2:9" ht="18" customHeight="1">
      <c r="B68" s="20" t="s">
        <v>101</v>
      </c>
      <c r="C68" s="20"/>
      <c r="D68" s="20"/>
      <c r="E68" s="24" t="s">
        <v>102</v>
      </c>
      <c r="F68" s="24"/>
      <c r="G68" s="24"/>
      <c r="H68" s="24"/>
      <c r="I68" s="24"/>
    </row>
    <row r="69" spans="2:9" ht="18" customHeight="1">
      <c r="B69" s="20" t="s">
        <v>103</v>
      </c>
      <c r="C69" s="20"/>
      <c r="D69" s="20"/>
      <c r="E69" s="24" t="s">
        <v>104</v>
      </c>
      <c r="F69" s="24"/>
      <c r="G69" s="24"/>
      <c r="H69" s="24"/>
      <c r="I69" s="24"/>
    </row>
    <row r="70" spans="2:9" ht="18" customHeight="1">
      <c r="B70" s="20" t="s">
        <v>105</v>
      </c>
      <c r="C70" s="20"/>
      <c r="D70" s="20"/>
      <c r="E70" s="24" t="s">
        <v>106</v>
      </c>
      <c r="F70" s="24"/>
      <c r="G70" s="24"/>
      <c r="H70" s="24"/>
      <c r="I70" s="24"/>
    </row>
    <row r="71" spans="2:9" ht="18" customHeight="1">
      <c r="B71" s="20" t="s">
        <v>107</v>
      </c>
      <c r="C71" s="20"/>
      <c r="D71" s="20"/>
      <c r="E71" s="24" t="s">
        <v>108</v>
      </c>
      <c r="F71" s="24"/>
      <c r="G71" s="24"/>
      <c r="H71" s="24"/>
      <c r="I71" s="24"/>
    </row>
    <row r="73" spans="2:9" ht="18" customHeight="1">
      <c r="B73" s="23" t="s">
        <v>110</v>
      </c>
      <c r="C73" s="23"/>
      <c r="D73" s="23"/>
      <c r="E73" s="23"/>
      <c r="F73" s="23"/>
      <c r="G73" s="23"/>
      <c r="H73" s="23"/>
      <c r="I73" s="23"/>
    </row>
    <row r="74" spans="2:9" ht="18" customHeight="1">
      <c r="B74" s="20" t="s">
        <v>99</v>
      </c>
      <c r="C74" s="20"/>
      <c r="D74" s="20"/>
      <c r="E74" s="21" t="s">
        <v>100</v>
      </c>
      <c r="F74" s="21"/>
      <c r="G74" s="21"/>
      <c r="H74" s="21"/>
      <c r="I74" s="21"/>
    </row>
    <row r="75" spans="2:9" ht="18" customHeight="1">
      <c r="B75" s="20" t="s">
        <v>101</v>
      </c>
      <c r="C75" s="20"/>
      <c r="D75" s="20"/>
      <c r="E75" s="21" t="s">
        <v>102</v>
      </c>
      <c r="F75" s="21"/>
      <c r="G75" s="21"/>
      <c r="H75" s="21"/>
      <c r="I75" s="21"/>
    </row>
    <row r="76" spans="2:9" ht="18" customHeight="1">
      <c r="B76" s="20" t="s">
        <v>103</v>
      </c>
      <c r="C76" s="20"/>
      <c r="D76" s="20"/>
      <c r="E76" s="21" t="s">
        <v>104</v>
      </c>
      <c r="F76" s="21"/>
      <c r="G76" s="21"/>
      <c r="H76" s="21"/>
      <c r="I76" s="21"/>
    </row>
    <row r="77" spans="2:9" ht="18" customHeight="1">
      <c r="B77" s="20" t="s">
        <v>105</v>
      </c>
      <c r="C77" s="20"/>
      <c r="D77" s="20"/>
      <c r="E77" s="21" t="s">
        <v>106</v>
      </c>
      <c r="F77" s="21"/>
      <c r="G77" s="21"/>
      <c r="H77" s="21"/>
      <c r="I77" s="21"/>
    </row>
    <row r="78" spans="2:9" ht="18" customHeight="1">
      <c r="B78" s="20" t="s">
        <v>107</v>
      </c>
      <c r="C78" s="20"/>
      <c r="D78" s="20"/>
      <c r="E78" s="21" t="s">
        <v>108</v>
      </c>
      <c r="F78" s="21"/>
      <c r="G78" s="21"/>
      <c r="H78" s="21"/>
      <c r="I78" s="21"/>
    </row>
    <row r="80" spans="2:9" ht="18" customHeight="1">
      <c r="B80" s="23" t="s">
        <v>111</v>
      </c>
      <c r="C80" s="23"/>
      <c r="D80" s="23"/>
      <c r="E80" s="23"/>
      <c r="F80" s="23"/>
      <c r="G80" s="23"/>
      <c r="H80" s="23"/>
      <c r="I80" s="23"/>
    </row>
    <row r="81" spans="2:9" ht="18" customHeight="1">
      <c r="B81" s="20" t="s">
        <v>99</v>
      </c>
      <c r="C81" s="20"/>
      <c r="D81" s="20"/>
      <c r="E81" s="21" t="s">
        <v>100</v>
      </c>
      <c r="F81" s="21"/>
      <c r="G81" s="21"/>
      <c r="H81" s="21"/>
      <c r="I81" s="21"/>
    </row>
    <row r="82" spans="2:9" ht="18" customHeight="1">
      <c r="B82" s="20" t="s">
        <v>101</v>
      </c>
      <c r="C82" s="20"/>
      <c r="D82" s="20"/>
      <c r="E82" s="21" t="s">
        <v>102</v>
      </c>
      <c r="F82" s="21"/>
      <c r="G82" s="21"/>
      <c r="H82" s="21"/>
      <c r="I82" s="21"/>
    </row>
    <row r="83" spans="2:9" ht="18" customHeight="1">
      <c r="B83" s="20" t="s">
        <v>103</v>
      </c>
      <c r="C83" s="20"/>
      <c r="D83" s="20"/>
      <c r="E83" s="21" t="s">
        <v>104</v>
      </c>
      <c r="F83" s="21"/>
      <c r="G83" s="21"/>
      <c r="H83" s="21"/>
      <c r="I83" s="21"/>
    </row>
    <row r="84" spans="2:9" ht="18" customHeight="1">
      <c r="B84" s="20" t="s">
        <v>105</v>
      </c>
      <c r="C84" s="20"/>
      <c r="D84" s="20"/>
      <c r="E84" s="21" t="s">
        <v>106</v>
      </c>
      <c r="F84" s="21"/>
      <c r="G84" s="21"/>
      <c r="H84" s="21"/>
      <c r="I84" s="21"/>
    </row>
    <row r="85" spans="2:9" ht="18" customHeight="1">
      <c r="B85" s="20" t="s">
        <v>107</v>
      </c>
      <c r="C85" s="20"/>
      <c r="D85" s="20"/>
      <c r="E85" s="21" t="s">
        <v>108</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100</v>
      </c>
      <c r="F88" s="21"/>
      <c r="G88" s="21"/>
      <c r="H88" s="21"/>
      <c r="I88" s="21"/>
    </row>
    <row r="89" spans="2:9" ht="18" customHeight="1">
      <c r="B89" s="20" t="s">
        <v>101</v>
      </c>
      <c r="C89" s="20"/>
      <c r="D89" s="20"/>
      <c r="E89" s="21" t="s">
        <v>102</v>
      </c>
      <c r="F89" s="21"/>
      <c r="G89" s="21"/>
      <c r="H89" s="21"/>
      <c r="I89" s="21"/>
    </row>
    <row r="90" spans="2:9" ht="18" customHeight="1">
      <c r="B90" s="20" t="s">
        <v>103</v>
      </c>
      <c r="C90" s="20"/>
      <c r="D90" s="20"/>
      <c r="E90" s="21" t="s">
        <v>104</v>
      </c>
      <c r="F90" s="21"/>
      <c r="G90" s="21"/>
      <c r="H90" s="21"/>
      <c r="I90" s="21"/>
    </row>
    <row r="91" spans="2:9" ht="18" customHeight="1">
      <c r="B91" s="20" t="s">
        <v>105</v>
      </c>
      <c r="C91" s="20"/>
      <c r="D91" s="20"/>
      <c r="E91" s="21" t="s">
        <v>106</v>
      </c>
      <c r="F91" s="21"/>
      <c r="G91" s="21"/>
      <c r="H91" s="21"/>
      <c r="I91" s="21"/>
    </row>
    <row r="92" spans="2:9" ht="18" customHeight="1">
      <c r="B92" s="20" t="s">
        <v>107</v>
      </c>
      <c r="C92" s="20"/>
      <c r="D92" s="20"/>
      <c r="E92" s="21" t="s">
        <v>108</v>
      </c>
      <c r="F92" s="21"/>
      <c r="G92" s="21"/>
      <c r="H92" s="21"/>
      <c r="I92" s="21"/>
    </row>
    <row r="94" spans="2:9" ht="15.75" customHeight="1">
      <c r="B94" s="22" t="s">
        <v>116</v>
      </c>
      <c r="C94" s="22"/>
      <c r="D94" s="22"/>
      <c r="E94" s="22"/>
      <c r="F94" s="22"/>
      <c r="G94" s="22"/>
      <c r="H94" s="22"/>
      <c r="I94" s="22"/>
    </row>
  </sheetData>
  <mergeCells count="106">
    <mergeCell ref="B2:I2"/>
    <mergeCell ref="B3:I3"/>
    <mergeCell ref="B5:I5"/>
    <mergeCell ref="B6:I6"/>
    <mergeCell ref="B17:I17"/>
    <mergeCell ref="B18:I18"/>
    <mergeCell ref="D19:F19"/>
    <mergeCell ref="G19:H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B46:D46"/>
    <mergeCell ref="E46:I46"/>
    <mergeCell ref="B47:D47"/>
    <mergeCell ref="E47:I47"/>
    <mergeCell ref="B48:D48"/>
    <mergeCell ref="E48:I48"/>
    <mergeCell ref="B49:D49"/>
    <mergeCell ref="E49:I49"/>
    <mergeCell ref="B50:D50"/>
    <mergeCell ref="E50:I50"/>
    <mergeCell ref="B51:D51"/>
    <mergeCell ref="E51:I51"/>
    <mergeCell ref="B52:D52"/>
    <mergeCell ref="E52:I52"/>
    <mergeCell ref="B53:D53"/>
    <mergeCell ref="E53:I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94"/>
  <sheetViews>
    <sheetView showGridLines="0" topLeftCell="A69" zoomScaleNormal="100" workbookViewId="0">
      <selection activeCell="E71" sqref="E71"/>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18" customHeight="1">
      <c r="B8" s="4"/>
      <c r="C8" s="4"/>
      <c r="D8" s="4"/>
      <c r="E8" s="4"/>
      <c r="F8" s="4"/>
      <c r="G8" s="4"/>
      <c r="H8" s="4"/>
      <c r="I8" s="4"/>
    </row>
    <row r="9" spans="2:9" ht="18" customHeight="1">
      <c r="B9" s="4"/>
      <c r="C9" s="4"/>
      <c r="D9" s="4"/>
      <c r="E9" s="4"/>
      <c r="F9" s="4"/>
      <c r="G9" s="4"/>
      <c r="H9" s="4"/>
      <c r="I9" s="4"/>
    </row>
    <row r="10" spans="2:9" ht="18" customHeight="1">
      <c r="B10" s="4"/>
      <c r="C10" s="4"/>
      <c r="D10" s="4"/>
      <c r="E10" s="4"/>
      <c r="F10" s="4"/>
      <c r="G10" s="4"/>
      <c r="H10" s="4"/>
      <c r="I10" s="4"/>
    </row>
    <row r="11" spans="2:9" ht="18" customHeight="1">
      <c r="B11" s="4"/>
      <c r="C11" s="4"/>
      <c r="D11" s="4"/>
      <c r="E11" s="4"/>
      <c r="F11" s="4"/>
      <c r="G11" s="4"/>
      <c r="H11" s="4"/>
      <c r="I11" s="4"/>
    </row>
    <row r="12" spans="2:9" ht="18" customHeight="1">
      <c r="B12" s="4"/>
      <c r="C12" s="4"/>
      <c r="D12" s="4"/>
      <c r="E12" s="4"/>
      <c r="F12" s="4"/>
      <c r="G12" s="4"/>
      <c r="H12" s="4"/>
      <c r="I12" s="4"/>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18" customHeight="1">
      <c r="B21" s="4"/>
      <c r="C21" s="4"/>
      <c r="D21" s="4"/>
      <c r="E21" s="4"/>
      <c r="F21" s="4"/>
      <c r="G21" s="4"/>
      <c r="H21" s="4"/>
      <c r="I21" s="4"/>
    </row>
    <row r="22" spans="2:9" ht="18" customHeight="1">
      <c r="B22" s="4"/>
      <c r="C22" s="4"/>
      <c r="D22" s="4"/>
      <c r="E22" s="4"/>
      <c r="F22" s="4"/>
      <c r="G22" s="4"/>
      <c r="H22" s="4"/>
      <c r="I22" s="4"/>
    </row>
    <row r="23" spans="2:9" ht="18" customHeight="1">
      <c r="B23" s="4"/>
      <c r="C23" s="4"/>
      <c r="D23" s="4"/>
      <c r="E23" s="4"/>
      <c r="F23" s="4"/>
      <c r="G23" s="4"/>
      <c r="H23" s="4"/>
      <c r="I23" s="4"/>
    </row>
    <row r="24" spans="2:9" ht="15.75" customHeight="1">
      <c r="B24" s="32" t="s">
        <v>80</v>
      </c>
      <c r="C24" s="32"/>
      <c r="D24" s="32"/>
      <c r="E24" s="32"/>
      <c r="F24" s="32"/>
      <c r="G24" s="32"/>
      <c r="H24" s="32"/>
      <c r="I24" s="32"/>
    </row>
    <row r="25" spans="2:9" ht="18" customHeight="1">
      <c r="B25" s="4"/>
      <c r="C25" s="4"/>
      <c r="D25" s="4"/>
      <c r="E25" s="4"/>
      <c r="F25" s="4"/>
      <c r="G25" s="4"/>
      <c r="H25" s="4"/>
      <c r="I25" s="4"/>
    </row>
    <row r="26" spans="2:9" ht="18" customHeight="1">
      <c r="B26" s="4"/>
      <c r="C26" s="4"/>
      <c r="D26" s="4"/>
      <c r="E26" s="4"/>
      <c r="F26" s="4"/>
      <c r="G26" s="4"/>
      <c r="H26" s="4"/>
      <c r="I26" s="4"/>
    </row>
    <row r="27" spans="2:9" ht="18" customHeight="1">
      <c r="B27" s="4"/>
      <c r="C27" s="4"/>
      <c r="D27" s="4"/>
      <c r="E27" s="4"/>
      <c r="F27" s="4"/>
      <c r="G27" s="4"/>
      <c r="H27" s="4"/>
      <c r="I27" s="4"/>
    </row>
    <row r="28" spans="2:9" ht="15.75" customHeight="1">
      <c r="B28" s="32" t="s">
        <v>81</v>
      </c>
      <c r="C28" s="32"/>
      <c r="D28" s="32"/>
      <c r="E28" s="32"/>
      <c r="F28" s="32"/>
      <c r="G28" s="32"/>
      <c r="H28" s="32"/>
      <c r="I28" s="32"/>
    </row>
    <row r="29" spans="2:9" ht="18" customHeight="1">
      <c r="B29" s="4"/>
      <c r="C29" s="4"/>
      <c r="D29" s="4"/>
      <c r="E29" s="4"/>
      <c r="F29" s="4"/>
      <c r="G29" s="4"/>
      <c r="H29" s="4"/>
      <c r="I29" s="4"/>
    </row>
    <row r="30" spans="2:9" ht="18" customHeight="1">
      <c r="B30" s="4"/>
      <c r="C30" s="4"/>
      <c r="D30" s="4"/>
      <c r="E30" s="4"/>
      <c r="F30" s="4"/>
      <c r="G30" s="4"/>
      <c r="H30" s="4"/>
      <c r="I30" s="4"/>
    </row>
    <row r="31" spans="2:9" ht="18" customHeight="1">
      <c r="B31" s="4"/>
      <c r="C31" s="4"/>
      <c r="D31" s="4"/>
      <c r="E31" s="4"/>
      <c r="F31" s="4"/>
      <c r="G31" s="4"/>
      <c r="H31" s="4"/>
      <c r="I31" s="4"/>
    </row>
    <row r="32" spans="2:9" ht="15.75" customHeight="1">
      <c r="B32" s="32" t="s">
        <v>82</v>
      </c>
      <c r="C32" s="32"/>
      <c r="D32" s="32"/>
      <c r="E32" s="32"/>
      <c r="F32" s="32"/>
      <c r="G32" s="32"/>
      <c r="H32" s="32"/>
      <c r="I32" s="32"/>
    </row>
    <row r="33" spans="2:9" ht="18" customHeight="1">
      <c r="B33" s="4"/>
      <c r="C33" s="4"/>
      <c r="D33" s="4"/>
      <c r="E33" s="4"/>
      <c r="F33" s="4"/>
      <c r="G33" s="4"/>
      <c r="H33" s="4"/>
      <c r="I33" s="4"/>
    </row>
    <row r="34" spans="2:9" ht="18" customHeight="1">
      <c r="B34" s="4"/>
      <c r="C34" s="4"/>
      <c r="D34" s="4"/>
      <c r="E34" s="4"/>
      <c r="F34" s="4"/>
      <c r="G34" s="4"/>
      <c r="H34" s="4"/>
      <c r="I34" s="4"/>
    </row>
    <row r="35" spans="2:9" ht="18" customHeight="1">
      <c r="B35" s="4"/>
      <c r="C35" s="4"/>
      <c r="D35" s="4"/>
      <c r="E35" s="4"/>
      <c r="F35" s="4"/>
      <c r="G35" s="4"/>
      <c r="H35" s="4"/>
      <c r="I35" s="4"/>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21.75" customHeight="1">
      <c r="B40" s="31" t="s">
        <v>89</v>
      </c>
      <c r="C40" s="31"/>
      <c r="D40" s="31"/>
      <c r="E40" s="28"/>
      <c r="F40" s="28"/>
      <c r="G40" s="28"/>
      <c r="H40" s="28"/>
      <c r="I40" s="28"/>
    </row>
    <row r="41" spans="2:9" ht="21.75" customHeight="1">
      <c r="B41" s="21" t="s">
        <v>90</v>
      </c>
      <c r="C41" s="21"/>
      <c r="D41" s="21"/>
      <c r="E41" s="28"/>
      <c r="F41" s="28"/>
      <c r="G41" s="28"/>
      <c r="H41" s="28"/>
      <c r="I41" s="28"/>
    </row>
    <row r="42" spans="2:9" ht="21.75" customHeight="1">
      <c r="B42" s="21" t="s">
        <v>91</v>
      </c>
      <c r="C42" s="21"/>
      <c r="D42" s="21"/>
      <c r="E42" s="28"/>
      <c r="F42" s="28"/>
      <c r="G42" s="28"/>
      <c r="H42" s="28"/>
      <c r="I42" s="28"/>
    </row>
    <row r="43" spans="2:9" ht="21.75" customHeight="1">
      <c r="B43" s="21" t="s">
        <v>92</v>
      </c>
      <c r="C43" s="21"/>
      <c r="D43" s="21"/>
      <c r="E43" s="28"/>
      <c r="F43" s="28"/>
      <c r="G43" s="28"/>
      <c r="H43" s="28"/>
      <c r="I43" s="28"/>
    </row>
    <row r="44" spans="2:9" ht="21.75" customHeight="1">
      <c r="B44" s="31" t="s">
        <v>93</v>
      </c>
      <c r="C44" s="31"/>
      <c r="D44" s="31"/>
      <c r="E44" s="28"/>
      <c r="F44" s="28"/>
      <c r="G44" s="28"/>
      <c r="H44" s="28"/>
      <c r="I44" s="28"/>
    </row>
    <row r="45" spans="2:9" ht="21.75" customHeight="1">
      <c r="B45" s="21" t="s">
        <v>90</v>
      </c>
      <c r="C45" s="21"/>
      <c r="D45" s="21"/>
      <c r="E45" s="28"/>
      <c r="F45" s="28"/>
      <c r="G45" s="28"/>
      <c r="H45" s="28"/>
      <c r="I45" s="28"/>
    </row>
    <row r="46" spans="2:9" ht="21.75" customHeight="1">
      <c r="B46" s="21" t="s">
        <v>91</v>
      </c>
      <c r="C46" s="21"/>
      <c r="D46" s="21"/>
      <c r="E46" s="28"/>
      <c r="F46" s="28"/>
      <c r="G46" s="28"/>
      <c r="H46" s="28"/>
      <c r="I46" s="28"/>
    </row>
    <row r="47" spans="2:9" ht="21.75" customHeight="1">
      <c r="B47" s="21" t="s">
        <v>92</v>
      </c>
      <c r="C47" s="21"/>
      <c r="D47" s="21"/>
      <c r="E47" s="28"/>
      <c r="F47" s="28"/>
      <c r="G47" s="28"/>
      <c r="H47" s="28"/>
      <c r="I47" s="28"/>
    </row>
    <row r="48" spans="2:9" ht="21.75" customHeight="1">
      <c r="B48" s="31" t="s">
        <v>94</v>
      </c>
      <c r="C48" s="31"/>
      <c r="D48" s="31"/>
      <c r="E48" s="28"/>
      <c r="F48" s="28"/>
      <c r="G48" s="28"/>
      <c r="H48" s="28"/>
      <c r="I48" s="28"/>
    </row>
    <row r="49" spans="2:9" ht="21.75" customHeight="1">
      <c r="B49" s="21" t="s">
        <v>90</v>
      </c>
      <c r="C49" s="21"/>
      <c r="D49" s="21"/>
      <c r="E49" s="28"/>
      <c r="F49" s="28"/>
      <c r="G49" s="28"/>
      <c r="H49" s="28"/>
      <c r="I49" s="28"/>
    </row>
    <row r="50" spans="2:9" ht="21.75" customHeight="1">
      <c r="B50" s="21" t="s">
        <v>91</v>
      </c>
      <c r="C50" s="21"/>
      <c r="D50" s="21"/>
      <c r="E50" s="28"/>
      <c r="F50" s="28"/>
      <c r="G50" s="28"/>
      <c r="H50" s="28"/>
      <c r="I50" s="28"/>
    </row>
    <row r="51" spans="2:9" ht="21.75" customHeight="1">
      <c r="B51" s="21" t="s">
        <v>92</v>
      </c>
      <c r="C51" s="21"/>
      <c r="D51" s="21"/>
      <c r="E51" s="28"/>
      <c r="F51" s="28"/>
      <c r="G51" s="28"/>
      <c r="H51" s="28"/>
      <c r="I51" s="28"/>
    </row>
    <row r="52" spans="2:9" ht="21.75" customHeight="1">
      <c r="B52" s="31" t="s">
        <v>95</v>
      </c>
      <c r="C52" s="31"/>
      <c r="D52" s="31"/>
      <c r="E52" s="28"/>
      <c r="F52" s="28"/>
      <c r="G52" s="28"/>
      <c r="H52" s="28"/>
      <c r="I52" s="28"/>
    </row>
    <row r="53" spans="2:9" ht="21.75" customHeight="1">
      <c r="B53" s="21" t="s">
        <v>90</v>
      </c>
      <c r="C53" s="21"/>
      <c r="D53" s="21"/>
      <c r="E53" s="28"/>
      <c r="F53" s="28"/>
      <c r="G53" s="28"/>
      <c r="H53" s="28"/>
      <c r="I53" s="28"/>
    </row>
    <row r="54" spans="2:9" ht="21.75" customHeight="1">
      <c r="B54" s="21" t="s">
        <v>91</v>
      </c>
      <c r="C54" s="21"/>
      <c r="D54" s="21"/>
      <c r="E54" s="28"/>
      <c r="F54" s="28"/>
      <c r="G54" s="28"/>
      <c r="H54" s="28"/>
      <c r="I54" s="28"/>
    </row>
    <row r="55" spans="2:9" ht="21.75" customHeight="1">
      <c r="B55" s="21" t="s">
        <v>92</v>
      </c>
      <c r="C55" s="21"/>
      <c r="D55" s="21"/>
      <c r="E55" s="28"/>
      <c r="F55" s="28"/>
      <c r="G55" s="28"/>
      <c r="H55" s="28"/>
      <c r="I55" s="28"/>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18" customHeight="1">
      <c r="B60" s="20" t="s">
        <v>99</v>
      </c>
      <c r="C60" s="20"/>
      <c r="D60" s="20"/>
      <c r="E60" s="24" t="s">
        <v>100</v>
      </c>
      <c r="F60" s="24"/>
      <c r="G60" s="24"/>
      <c r="H60" s="24"/>
      <c r="I60" s="24"/>
    </row>
    <row r="61" spans="2:9" ht="18" customHeight="1">
      <c r="B61" s="20" t="s">
        <v>101</v>
      </c>
      <c r="C61" s="20"/>
      <c r="D61" s="20"/>
      <c r="E61" s="24" t="s">
        <v>102</v>
      </c>
      <c r="F61" s="24"/>
      <c r="G61" s="24"/>
      <c r="H61" s="24"/>
      <c r="I61" s="24"/>
    </row>
    <row r="62" spans="2:9" ht="18" customHeight="1">
      <c r="B62" s="20" t="s">
        <v>103</v>
      </c>
      <c r="C62" s="20"/>
      <c r="D62" s="20"/>
      <c r="E62" s="24" t="s">
        <v>104</v>
      </c>
      <c r="F62" s="24"/>
      <c r="G62" s="24"/>
      <c r="H62" s="24"/>
      <c r="I62" s="24"/>
    </row>
    <row r="63" spans="2:9" ht="18" customHeight="1">
      <c r="B63" s="20" t="s">
        <v>105</v>
      </c>
      <c r="C63" s="20"/>
      <c r="D63" s="20"/>
      <c r="E63" s="24" t="s">
        <v>106</v>
      </c>
      <c r="F63" s="24"/>
      <c r="G63" s="24"/>
      <c r="H63" s="24"/>
      <c r="I63" s="24"/>
    </row>
    <row r="64" spans="2:9" ht="18" customHeight="1">
      <c r="B64" s="20" t="s">
        <v>107</v>
      </c>
      <c r="C64" s="20"/>
      <c r="D64" s="20"/>
      <c r="E64" s="24" t="s">
        <v>108</v>
      </c>
      <c r="F64" s="24"/>
      <c r="G64" s="24"/>
      <c r="H64" s="24"/>
      <c r="I64" s="24"/>
    </row>
    <row r="66" spans="2:9" ht="18" customHeight="1">
      <c r="B66" s="23" t="s">
        <v>109</v>
      </c>
      <c r="C66" s="23"/>
      <c r="D66" s="23"/>
      <c r="E66" s="23"/>
      <c r="F66" s="23"/>
      <c r="G66" s="23"/>
      <c r="H66" s="23"/>
      <c r="I66" s="23"/>
    </row>
    <row r="67" spans="2:9" ht="18" customHeight="1">
      <c r="B67" s="20" t="s">
        <v>99</v>
      </c>
      <c r="C67" s="20"/>
      <c r="D67" s="20"/>
      <c r="E67" s="24" t="s">
        <v>100</v>
      </c>
      <c r="F67" s="24"/>
      <c r="G67" s="24"/>
      <c r="H67" s="24"/>
      <c r="I67" s="24"/>
    </row>
    <row r="68" spans="2:9" ht="18" customHeight="1">
      <c r="B68" s="20" t="s">
        <v>101</v>
      </c>
      <c r="C68" s="20"/>
      <c r="D68" s="20"/>
      <c r="E68" s="24" t="s">
        <v>102</v>
      </c>
      <c r="F68" s="24"/>
      <c r="G68" s="24"/>
      <c r="H68" s="24"/>
      <c r="I68" s="24"/>
    </row>
    <row r="69" spans="2:9" ht="18" customHeight="1">
      <c r="B69" s="20" t="s">
        <v>103</v>
      </c>
      <c r="C69" s="20"/>
      <c r="D69" s="20"/>
      <c r="E69" s="24" t="s">
        <v>104</v>
      </c>
      <c r="F69" s="24"/>
      <c r="G69" s="24"/>
      <c r="H69" s="24"/>
      <c r="I69" s="24"/>
    </row>
    <row r="70" spans="2:9" ht="18" customHeight="1">
      <c r="B70" s="20" t="s">
        <v>105</v>
      </c>
      <c r="C70" s="20"/>
      <c r="D70" s="20"/>
      <c r="E70" s="24" t="s">
        <v>106</v>
      </c>
      <c r="F70" s="24"/>
      <c r="G70" s="24"/>
      <c r="H70" s="24"/>
      <c r="I70" s="24"/>
    </row>
    <row r="71" spans="2:9" ht="18" customHeight="1">
      <c r="B71" s="20" t="s">
        <v>107</v>
      </c>
      <c r="C71" s="20"/>
      <c r="D71" s="20"/>
      <c r="E71" s="24" t="s">
        <v>108</v>
      </c>
      <c r="F71" s="24"/>
      <c r="G71" s="24"/>
      <c r="H71" s="24"/>
      <c r="I71" s="24"/>
    </row>
    <row r="73" spans="2:9" ht="18" customHeight="1">
      <c r="B73" s="23" t="s">
        <v>110</v>
      </c>
      <c r="C73" s="23"/>
      <c r="D73" s="23"/>
      <c r="E73" s="23"/>
      <c r="F73" s="23"/>
      <c r="G73" s="23"/>
      <c r="H73" s="23"/>
      <c r="I73" s="23"/>
    </row>
    <row r="74" spans="2:9" ht="18" customHeight="1">
      <c r="B74" s="20" t="s">
        <v>99</v>
      </c>
      <c r="C74" s="20"/>
      <c r="D74" s="20"/>
      <c r="E74" s="21" t="s">
        <v>100</v>
      </c>
      <c r="F74" s="21"/>
      <c r="G74" s="21"/>
      <c r="H74" s="21"/>
      <c r="I74" s="21"/>
    </row>
    <row r="75" spans="2:9" ht="18" customHeight="1">
      <c r="B75" s="20" t="s">
        <v>101</v>
      </c>
      <c r="C75" s="20"/>
      <c r="D75" s="20"/>
      <c r="E75" s="21" t="s">
        <v>102</v>
      </c>
      <c r="F75" s="21"/>
      <c r="G75" s="21"/>
      <c r="H75" s="21"/>
      <c r="I75" s="21"/>
    </row>
    <row r="76" spans="2:9" ht="18" customHeight="1">
      <c r="B76" s="20" t="s">
        <v>103</v>
      </c>
      <c r="C76" s="20"/>
      <c r="D76" s="20"/>
      <c r="E76" s="21" t="s">
        <v>104</v>
      </c>
      <c r="F76" s="21"/>
      <c r="G76" s="21"/>
      <c r="H76" s="21"/>
      <c r="I76" s="21"/>
    </row>
    <row r="77" spans="2:9" ht="18" customHeight="1">
      <c r="B77" s="20" t="s">
        <v>105</v>
      </c>
      <c r="C77" s="20"/>
      <c r="D77" s="20"/>
      <c r="E77" s="21" t="s">
        <v>106</v>
      </c>
      <c r="F77" s="21"/>
      <c r="G77" s="21"/>
      <c r="H77" s="21"/>
      <c r="I77" s="21"/>
    </row>
    <row r="78" spans="2:9" ht="18" customHeight="1">
      <c r="B78" s="20" t="s">
        <v>107</v>
      </c>
      <c r="C78" s="20"/>
      <c r="D78" s="20"/>
      <c r="E78" s="21" t="s">
        <v>108</v>
      </c>
      <c r="F78" s="21"/>
      <c r="G78" s="21"/>
      <c r="H78" s="21"/>
      <c r="I78" s="21"/>
    </row>
    <row r="80" spans="2:9" ht="18" customHeight="1">
      <c r="B80" s="23" t="s">
        <v>111</v>
      </c>
      <c r="C80" s="23"/>
      <c r="D80" s="23"/>
      <c r="E80" s="23"/>
      <c r="F80" s="23"/>
      <c r="G80" s="23"/>
      <c r="H80" s="23"/>
      <c r="I80" s="23"/>
    </row>
    <row r="81" spans="2:9" ht="18" customHeight="1">
      <c r="B81" s="20" t="s">
        <v>99</v>
      </c>
      <c r="C81" s="20"/>
      <c r="D81" s="20"/>
      <c r="E81" s="21" t="s">
        <v>100</v>
      </c>
      <c r="F81" s="21"/>
      <c r="G81" s="21"/>
      <c r="H81" s="21"/>
      <c r="I81" s="21"/>
    </row>
    <row r="82" spans="2:9" ht="18" customHeight="1">
      <c r="B82" s="20" t="s">
        <v>101</v>
      </c>
      <c r="C82" s="20"/>
      <c r="D82" s="20"/>
      <c r="E82" s="21" t="s">
        <v>102</v>
      </c>
      <c r="F82" s="21"/>
      <c r="G82" s="21"/>
      <c r="H82" s="21"/>
      <c r="I82" s="21"/>
    </row>
    <row r="83" spans="2:9" ht="18" customHeight="1">
      <c r="B83" s="20" t="s">
        <v>103</v>
      </c>
      <c r="C83" s="20"/>
      <c r="D83" s="20"/>
      <c r="E83" s="21" t="s">
        <v>104</v>
      </c>
      <c r="F83" s="21"/>
      <c r="G83" s="21"/>
      <c r="H83" s="21"/>
      <c r="I83" s="21"/>
    </row>
    <row r="84" spans="2:9" ht="18" customHeight="1">
      <c r="B84" s="20" t="s">
        <v>105</v>
      </c>
      <c r="C84" s="20"/>
      <c r="D84" s="20"/>
      <c r="E84" s="21" t="s">
        <v>106</v>
      </c>
      <c r="F84" s="21"/>
      <c r="G84" s="21"/>
      <c r="H84" s="21"/>
      <c r="I84" s="21"/>
    </row>
    <row r="85" spans="2:9" ht="18" customHeight="1">
      <c r="B85" s="20" t="s">
        <v>107</v>
      </c>
      <c r="C85" s="20"/>
      <c r="D85" s="20"/>
      <c r="E85" s="21" t="s">
        <v>108</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100</v>
      </c>
      <c r="F88" s="21"/>
      <c r="G88" s="21"/>
      <c r="H88" s="21"/>
      <c r="I88" s="21"/>
    </row>
    <row r="89" spans="2:9" ht="18" customHeight="1">
      <c r="B89" s="20" t="s">
        <v>101</v>
      </c>
      <c r="C89" s="20"/>
      <c r="D89" s="20"/>
      <c r="E89" s="21" t="s">
        <v>102</v>
      </c>
      <c r="F89" s="21"/>
      <c r="G89" s="21"/>
      <c r="H89" s="21"/>
      <c r="I89" s="21"/>
    </row>
    <row r="90" spans="2:9" ht="18" customHeight="1">
      <c r="B90" s="20" t="s">
        <v>103</v>
      </c>
      <c r="C90" s="20"/>
      <c r="D90" s="20"/>
      <c r="E90" s="21" t="s">
        <v>104</v>
      </c>
      <c r="F90" s="21"/>
      <c r="G90" s="21"/>
      <c r="H90" s="21"/>
      <c r="I90" s="21"/>
    </row>
    <row r="91" spans="2:9" ht="18" customHeight="1">
      <c r="B91" s="20" t="s">
        <v>105</v>
      </c>
      <c r="C91" s="20"/>
      <c r="D91" s="20"/>
      <c r="E91" s="21" t="s">
        <v>106</v>
      </c>
      <c r="F91" s="21"/>
      <c r="G91" s="21"/>
      <c r="H91" s="21"/>
      <c r="I91" s="21"/>
    </row>
    <row r="92" spans="2:9" ht="18" customHeight="1">
      <c r="B92" s="20" t="s">
        <v>107</v>
      </c>
      <c r="C92" s="20"/>
      <c r="D92" s="20"/>
      <c r="E92" s="21" t="s">
        <v>108</v>
      </c>
      <c r="F92" s="21"/>
      <c r="G92" s="21"/>
      <c r="H92" s="21"/>
      <c r="I92" s="21"/>
    </row>
    <row r="94" spans="2:9" ht="15.75" customHeight="1">
      <c r="B94" s="22" t="s">
        <v>117</v>
      </c>
      <c r="C94" s="22"/>
      <c r="D94" s="22"/>
      <c r="E94" s="22"/>
      <c r="F94" s="22"/>
      <c r="G94" s="22"/>
      <c r="H94" s="22"/>
      <c r="I94" s="22"/>
    </row>
  </sheetData>
  <mergeCells count="106">
    <mergeCell ref="B2:I2"/>
    <mergeCell ref="B3:I3"/>
    <mergeCell ref="B5:I5"/>
    <mergeCell ref="B6:I6"/>
    <mergeCell ref="B17:I17"/>
    <mergeCell ref="B18:I18"/>
    <mergeCell ref="D19:F19"/>
    <mergeCell ref="G19:H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B46:D46"/>
    <mergeCell ref="E46:I46"/>
    <mergeCell ref="B47:D47"/>
    <mergeCell ref="E47:I47"/>
    <mergeCell ref="B48:D48"/>
    <mergeCell ref="E48:I48"/>
    <mergeCell ref="B49:D49"/>
    <mergeCell ref="E49:I49"/>
    <mergeCell ref="B50:D50"/>
    <mergeCell ref="E50:I50"/>
    <mergeCell ref="B51:D51"/>
    <mergeCell ref="E51:I51"/>
    <mergeCell ref="B52:D52"/>
    <mergeCell ref="E52:I52"/>
    <mergeCell ref="B53:D53"/>
    <mergeCell ref="E53:I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94"/>
  <sheetViews>
    <sheetView showGridLines="0" topLeftCell="A69" zoomScaleNormal="100" workbookViewId="0">
      <selection activeCell="E71" sqref="E71"/>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18" customHeight="1">
      <c r="B8" s="4"/>
      <c r="C8" s="4"/>
      <c r="D8" s="4"/>
      <c r="E8" s="4"/>
      <c r="F8" s="4"/>
      <c r="G8" s="4"/>
      <c r="H8" s="4"/>
      <c r="I8" s="4"/>
    </row>
    <row r="9" spans="2:9" ht="18" customHeight="1">
      <c r="B9" s="4"/>
      <c r="C9" s="4"/>
      <c r="D9" s="4"/>
      <c r="E9" s="4"/>
      <c r="F9" s="4"/>
      <c r="G9" s="4"/>
      <c r="H9" s="4"/>
      <c r="I9" s="4"/>
    </row>
    <row r="10" spans="2:9" ht="18" customHeight="1">
      <c r="B10" s="4"/>
      <c r="C10" s="4"/>
      <c r="D10" s="4"/>
      <c r="E10" s="4"/>
      <c r="F10" s="4"/>
      <c r="G10" s="4"/>
      <c r="H10" s="4"/>
      <c r="I10" s="4"/>
    </row>
    <row r="11" spans="2:9" ht="18" customHeight="1">
      <c r="B11" s="4"/>
      <c r="C11" s="4"/>
      <c r="D11" s="4"/>
      <c r="E11" s="4"/>
      <c r="F11" s="4"/>
      <c r="G11" s="4"/>
      <c r="H11" s="4"/>
      <c r="I11" s="4"/>
    </row>
    <row r="12" spans="2:9" ht="18" customHeight="1">
      <c r="B12" s="4"/>
      <c r="C12" s="4"/>
      <c r="D12" s="4"/>
      <c r="E12" s="4"/>
      <c r="F12" s="4"/>
      <c r="G12" s="4"/>
      <c r="H12" s="4"/>
      <c r="I12" s="4"/>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18" customHeight="1">
      <c r="B21" s="4"/>
      <c r="C21" s="4"/>
      <c r="D21" s="4"/>
      <c r="E21" s="4"/>
      <c r="F21" s="4"/>
      <c r="G21" s="4"/>
      <c r="H21" s="4"/>
      <c r="I21" s="4"/>
    </row>
    <row r="22" spans="2:9" ht="18" customHeight="1">
      <c r="B22" s="4"/>
      <c r="C22" s="4"/>
      <c r="D22" s="4"/>
      <c r="E22" s="4"/>
      <c r="F22" s="4"/>
      <c r="G22" s="4"/>
      <c r="H22" s="4"/>
      <c r="I22" s="4"/>
    </row>
    <row r="23" spans="2:9" ht="18" customHeight="1">
      <c r="B23" s="4"/>
      <c r="C23" s="4"/>
      <c r="D23" s="4"/>
      <c r="E23" s="4"/>
      <c r="F23" s="4"/>
      <c r="G23" s="4"/>
      <c r="H23" s="4"/>
      <c r="I23" s="4"/>
    </row>
    <row r="24" spans="2:9" ht="15.75" customHeight="1">
      <c r="B24" s="32" t="s">
        <v>80</v>
      </c>
      <c r="C24" s="32"/>
      <c r="D24" s="32"/>
      <c r="E24" s="32"/>
      <c r="F24" s="32"/>
      <c r="G24" s="32"/>
      <c r="H24" s="32"/>
      <c r="I24" s="32"/>
    </row>
    <row r="25" spans="2:9" ht="18" customHeight="1">
      <c r="B25" s="4"/>
      <c r="C25" s="4"/>
      <c r="D25" s="4"/>
      <c r="E25" s="4"/>
      <c r="F25" s="4"/>
      <c r="G25" s="4"/>
      <c r="H25" s="4"/>
      <c r="I25" s="4"/>
    </row>
    <row r="26" spans="2:9" ht="18" customHeight="1">
      <c r="B26" s="4"/>
      <c r="C26" s="4"/>
      <c r="D26" s="4"/>
      <c r="E26" s="4"/>
      <c r="F26" s="4"/>
      <c r="G26" s="4"/>
      <c r="H26" s="4"/>
      <c r="I26" s="4"/>
    </row>
    <row r="27" spans="2:9" ht="18" customHeight="1">
      <c r="B27" s="4"/>
      <c r="C27" s="4"/>
      <c r="D27" s="4"/>
      <c r="E27" s="4"/>
      <c r="F27" s="4"/>
      <c r="G27" s="4"/>
      <c r="H27" s="4"/>
      <c r="I27" s="4"/>
    </row>
    <row r="28" spans="2:9" ht="15.75" customHeight="1">
      <c r="B28" s="32" t="s">
        <v>81</v>
      </c>
      <c r="C28" s="32"/>
      <c r="D28" s="32"/>
      <c r="E28" s="32"/>
      <c r="F28" s="32"/>
      <c r="G28" s="32"/>
      <c r="H28" s="32"/>
      <c r="I28" s="32"/>
    </row>
    <row r="29" spans="2:9" ht="18" customHeight="1">
      <c r="B29" s="4"/>
      <c r="C29" s="4"/>
      <c r="D29" s="4"/>
      <c r="E29" s="4"/>
      <c r="F29" s="4"/>
      <c r="G29" s="4"/>
      <c r="H29" s="4"/>
      <c r="I29" s="4"/>
    </row>
    <row r="30" spans="2:9" ht="18" customHeight="1">
      <c r="B30" s="4"/>
      <c r="C30" s="4"/>
      <c r="D30" s="4"/>
      <c r="E30" s="4"/>
      <c r="F30" s="4"/>
      <c r="G30" s="4"/>
      <c r="H30" s="4"/>
      <c r="I30" s="4"/>
    </row>
    <row r="31" spans="2:9" ht="18" customHeight="1">
      <c r="B31" s="4"/>
      <c r="C31" s="4"/>
      <c r="D31" s="4"/>
      <c r="E31" s="4"/>
      <c r="F31" s="4"/>
      <c r="G31" s="4"/>
      <c r="H31" s="4"/>
      <c r="I31" s="4"/>
    </row>
    <row r="32" spans="2:9" ht="15.75" customHeight="1">
      <c r="B32" s="32" t="s">
        <v>82</v>
      </c>
      <c r="C32" s="32"/>
      <c r="D32" s="32"/>
      <c r="E32" s="32"/>
      <c r="F32" s="32"/>
      <c r="G32" s="32"/>
      <c r="H32" s="32"/>
      <c r="I32" s="32"/>
    </row>
    <row r="33" spans="2:9" ht="18" customHeight="1">
      <c r="B33" s="4"/>
      <c r="C33" s="4"/>
      <c r="D33" s="4"/>
      <c r="E33" s="4"/>
      <c r="F33" s="4"/>
      <c r="G33" s="4"/>
      <c r="H33" s="4"/>
      <c r="I33" s="4"/>
    </row>
    <row r="34" spans="2:9" ht="18" customHeight="1">
      <c r="B34" s="4"/>
      <c r="C34" s="4"/>
      <c r="D34" s="4"/>
      <c r="E34" s="4"/>
      <c r="F34" s="4"/>
      <c r="G34" s="4"/>
      <c r="H34" s="4"/>
      <c r="I34" s="4"/>
    </row>
    <row r="35" spans="2:9" ht="18" customHeight="1">
      <c r="B35" s="4"/>
      <c r="C35" s="4"/>
      <c r="D35" s="4"/>
      <c r="E35" s="4"/>
      <c r="F35" s="4"/>
      <c r="G35" s="4"/>
      <c r="H35" s="4"/>
      <c r="I35" s="4"/>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21.75" customHeight="1">
      <c r="B40" s="31" t="s">
        <v>89</v>
      </c>
      <c r="C40" s="31"/>
      <c r="D40" s="31"/>
      <c r="E40" s="28"/>
      <c r="F40" s="28"/>
      <c r="G40" s="28"/>
      <c r="H40" s="28"/>
      <c r="I40" s="28"/>
    </row>
    <row r="41" spans="2:9" ht="21.75" customHeight="1">
      <c r="B41" s="21" t="s">
        <v>90</v>
      </c>
      <c r="C41" s="21"/>
      <c r="D41" s="21"/>
      <c r="E41" s="28"/>
      <c r="F41" s="28"/>
      <c r="G41" s="28"/>
      <c r="H41" s="28"/>
      <c r="I41" s="28"/>
    </row>
    <row r="42" spans="2:9" ht="21.75" customHeight="1">
      <c r="B42" s="21" t="s">
        <v>91</v>
      </c>
      <c r="C42" s="21"/>
      <c r="D42" s="21"/>
      <c r="E42" s="28"/>
      <c r="F42" s="28"/>
      <c r="G42" s="28"/>
      <c r="H42" s="28"/>
      <c r="I42" s="28"/>
    </row>
    <row r="43" spans="2:9" ht="21.75" customHeight="1">
      <c r="B43" s="21" t="s">
        <v>92</v>
      </c>
      <c r="C43" s="21"/>
      <c r="D43" s="21"/>
      <c r="E43" s="28"/>
      <c r="F43" s="28"/>
      <c r="G43" s="28"/>
      <c r="H43" s="28"/>
      <c r="I43" s="28"/>
    </row>
    <row r="44" spans="2:9" ht="21.75" customHeight="1">
      <c r="B44" s="31" t="s">
        <v>93</v>
      </c>
      <c r="C44" s="31"/>
      <c r="D44" s="31"/>
      <c r="E44" s="28"/>
      <c r="F44" s="28"/>
      <c r="G44" s="28"/>
      <c r="H44" s="28"/>
      <c r="I44" s="28"/>
    </row>
    <row r="45" spans="2:9" ht="21.75" customHeight="1">
      <c r="B45" s="21" t="s">
        <v>90</v>
      </c>
      <c r="C45" s="21"/>
      <c r="D45" s="21"/>
      <c r="E45" s="28"/>
      <c r="F45" s="28"/>
      <c r="G45" s="28"/>
      <c r="H45" s="28"/>
      <c r="I45" s="28"/>
    </row>
    <row r="46" spans="2:9" ht="21.75" customHeight="1">
      <c r="B46" s="21" t="s">
        <v>91</v>
      </c>
      <c r="C46" s="21"/>
      <c r="D46" s="21"/>
      <c r="E46" s="28"/>
      <c r="F46" s="28"/>
      <c r="G46" s="28"/>
      <c r="H46" s="28"/>
      <c r="I46" s="28"/>
    </row>
    <row r="47" spans="2:9" ht="21.75" customHeight="1">
      <c r="B47" s="21" t="s">
        <v>92</v>
      </c>
      <c r="C47" s="21"/>
      <c r="D47" s="21"/>
      <c r="E47" s="28"/>
      <c r="F47" s="28"/>
      <c r="G47" s="28"/>
      <c r="H47" s="28"/>
      <c r="I47" s="28"/>
    </row>
    <row r="48" spans="2:9" ht="21.75" customHeight="1">
      <c r="B48" s="31" t="s">
        <v>94</v>
      </c>
      <c r="C48" s="31"/>
      <c r="D48" s="31"/>
      <c r="E48" s="28"/>
      <c r="F48" s="28"/>
      <c r="G48" s="28"/>
      <c r="H48" s="28"/>
      <c r="I48" s="28"/>
    </row>
    <row r="49" spans="2:9" ht="21.75" customHeight="1">
      <c r="B49" s="21" t="s">
        <v>90</v>
      </c>
      <c r="C49" s="21"/>
      <c r="D49" s="21"/>
      <c r="E49" s="28"/>
      <c r="F49" s="28"/>
      <c r="G49" s="28"/>
      <c r="H49" s="28"/>
      <c r="I49" s="28"/>
    </row>
    <row r="50" spans="2:9" ht="21.75" customHeight="1">
      <c r="B50" s="21" t="s">
        <v>91</v>
      </c>
      <c r="C50" s="21"/>
      <c r="D50" s="21"/>
      <c r="E50" s="28"/>
      <c r="F50" s="28"/>
      <c r="G50" s="28"/>
      <c r="H50" s="28"/>
      <c r="I50" s="28"/>
    </row>
    <row r="51" spans="2:9" ht="21.75" customHeight="1">
      <c r="B51" s="21" t="s">
        <v>92</v>
      </c>
      <c r="C51" s="21"/>
      <c r="D51" s="21"/>
      <c r="E51" s="28"/>
      <c r="F51" s="28"/>
      <c r="G51" s="28"/>
      <c r="H51" s="28"/>
      <c r="I51" s="28"/>
    </row>
    <row r="52" spans="2:9" ht="21.75" customHeight="1">
      <c r="B52" s="31" t="s">
        <v>95</v>
      </c>
      <c r="C52" s="31"/>
      <c r="D52" s="31"/>
      <c r="E52" s="28"/>
      <c r="F52" s="28"/>
      <c r="G52" s="28"/>
      <c r="H52" s="28"/>
      <c r="I52" s="28"/>
    </row>
    <row r="53" spans="2:9" ht="21.75" customHeight="1">
      <c r="B53" s="21" t="s">
        <v>90</v>
      </c>
      <c r="C53" s="21"/>
      <c r="D53" s="21"/>
      <c r="E53" s="28"/>
      <c r="F53" s="28"/>
      <c r="G53" s="28"/>
      <c r="H53" s="28"/>
      <c r="I53" s="28"/>
    </row>
    <row r="54" spans="2:9" ht="21.75" customHeight="1">
      <c r="B54" s="21" t="s">
        <v>91</v>
      </c>
      <c r="C54" s="21"/>
      <c r="D54" s="21"/>
      <c r="E54" s="28"/>
      <c r="F54" s="28"/>
      <c r="G54" s="28"/>
      <c r="H54" s="28"/>
      <c r="I54" s="28"/>
    </row>
    <row r="55" spans="2:9" ht="21.75" customHeight="1">
      <c r="B55" s="21" t="s">
        <v>92</v>
      </c>
      <c r="C55" s="21"/>
      <c r="D55" s="21"/>
      <c r="E55" s="28"/>
      <c r="F55" s="28"/>
      <c r="G55" s="28"/>
      <c r="H55" s="28"/>
      <c r="I55" s="28"/>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18" customHeight="1">
      <c r="B60" s="20" t="s">
        <v>99</v>
      </c>
      <c r="C60" s="20"/>
      <c r="D60" s="20"/>
      <c r="E60" s="24" t="s">
        <v>100</v>
      </c>
      <c r="F60" s="24"/>
      <c r="G60" s="24"/>
      <c r="H60" s="24"/>
      <c r="I60" s="24"/>
    </row>
    <row r="61" spans="2:9" ht="18" customHeight="1">
      <c r="B61" s="20" t="s">
        <v>101</v>
      </c>
      <c r="C61" s="20"/>
      <c r="D61" s="20"/>
      <c r="E61" s="24" t="s">
        <v>102</v>
      </c>
      <c r="F61" s="24"/>
      <c r="G61" s="24"/>
      <c r="H61" s="24"/>
      <c r="I61" s="24"/>
    </row>
    <row r="62" spans="2:9" ht="18" customHeight="1">
      <c r="B62" s="20" t="s">
        <v>103</v>
      </c>
      <c r="C62" s="20"/>
      <c r="D62" s="20"/>
      <c r="E62" s="24" t="s">
        <v>104</v>
      </c>
      <c r="F62" s="24"/>
      <c r="G62" s="24"/>
      <c r="H62" s="24"/>
      <c r="I62" s="24"/>
    </row>
    <row r="63" spans="2:9" ht="18" customHeight="1">
      <c r="B63" s="20" t="s">
        <v>105</v>
      </c>
      <c r="C63" s="20"/>
      <c r="D63" s="20"/>
      <c r="E63" s="24" t="s">
        <v>106</v>
      </c>
      <c r="F63" s="24"/>
      <c r="G63" s="24"/>
      <c r="H63" s="24"/>
      <c r="I63" s="24"/>
    </row>
    <row r="64" spans="2:9" ht="18" customHeight="1">
      <c r="B64" s="20" t="s">
        <v>107</v>
      </c>
      <c r="C64" s="20"/>
      <c r="D64" s="20"/>
      <c r="E64" s="24" t="s">
        <v>108</v>
      </c>
      <c r="F64" s="24"/>
      <c r="G64" s="24"/>
      <c r="H64" s="24"/>
      <c r="I64" s="24"/>
    </row>
    <row r="66" spans="2:9" ht="18" customHeight="1">
      <c r="B66" s="23" t="s">
        <v>109</v>
      </c>
      <c r="C66" s="23"/>
      <c r="D66" s="23"/>
      <c r="E66" s="23"/>
      <c r="F66" s="23"/>
      <c r="G66" s="23"/>
      <c r="H66" s="23"/>
      <c r="I66" s="23"/>
    </row>
    <row r="67" spans="2:9" ht="18" customHeight="1">
      <c r="B67" s="20" t="s">
        <v>99</v>
      </c>
      <c r="C67" s="20"/>
      <c r="D67" s="20"/>
      <c r="E67" s="24" t="s">
        <v>100</v>
      </c>
      <c r="F67" s="24"/>
      <c r="G67" s="24"/>
      <c r="H67" s="24"/>
      <c r="I67" s="24"/>
    </row>
    <row r="68" spans="2:9" ht="18" customHeight="1">
      <c r="B68" s="20" t="s">
        <v>101</v>
      </c>
      <c r="C68" s="20"/>
      <c r="D68" s="20"/>
      <c r="E68" s="24" t="s">
        <v>102</v>
      </c>
      <c r="F68" s="24"/>
      <c r="G68" s="24"/>
      <c r="H68" s="24"/>
      <c r="I68" s="24"/>
    </row>
    <row r="69" spans="2:9" ht="18" customHeight="1">
      <c r="B69" s="20" t="s">
        <v>103</v>
      </c>
      <c r="C69" s="20"/>
      <c r="D69" s="20"/>
      <c r="E69" s="24" t="s">
        <v>104</v>
      </c>
      <c r="F69" s="24"/>
      <c r="G69" s="24"/>
      <c r="H69" s="24"/>
      <c r="I69" s="24"/>
    </row>
    <row r="70" spans="2:9" ht="18" customHeight="1">
      <c r="B70" s="20" t="s">
        <v>105</v>
      </c>
      <c r="C70" s="20"/>
      <c r="D70" s="20"/>
      <c r="E70" s="24" t="s">
        <v>106</v>
      </c>
      <c r="F70" s="24"/>
      <c r="G70" s="24"/>
      <c r="H70" s="24"/>
      <c r="I70" s="24"/>
    </row>
    <row r="71" spans="2:9" ht="18" customHeight="1">
      <c r="B71" s="20" t="s">
        <v>107</v>
      </c>
      <c r="C71" s="20"/>
      <c r="D71" s="20"/>
      <c r="E71" s="24" t="s">
        <v>108</v>
      </c>
      <c r="F71" s="24"/>
      <c r="G71" s="24"/>
      <c r="H71" s="24"/>
      <c r="I71" s="24"/>
    </row>
    <row r="73" spans="2:9" ht="18" customHeight="1">
      <c r="B73" s="23" t="s">
        <v>110</v>
      </c>
      <c r="C73" s="23"/>
      <c r="D73" s="23"/>
      <c r="E73" s="23"/>
      <c r="F73" s="23"/>
      <c r="G73" s="23"/>
      <c r="H73" s="23"/>
      <c r="I73" s="23"/>
    </row>
    <row r="74" spans="2:9" ht="18" customHeight="1">
      <c r="B74" s="20" t="s">
        <v>99</v>
      </c>
      <c r="C74" s="20"/>
      <c r="D74" s="20"/>
      <c r="E74" s="21" t="s">
        <v>100</v>
      </c>
      <c r="F74" s="21"/>
      <c r="G74" s="21"/>
      <c r="H74" s="21"/>
      <c r="I74" s="21"/>
    </row>
    <row r="75" spans="2:9" ht="18" customHeight="1">
      <c r="B75" s="20" t="s">
        <v>101</v>
      </c>
      <c r="C75" s="20"/>
      <c r="D75" s="20"/>
      <c r="E75" s="21" t="s">
        <v>102</v>
      </c>
      <c r="F75" s="21"/>
      <c r="G75" s="21"/>
      <c r="H75" s="21"/>
      <c r="I75" s="21"/>
    </row>
    <row r="76" spans="2:9" ht="18" customHeight="1">
      <c r="B76" s="20" t="s">
        <v>103</v>
      </c>
      <c r="C76" s="20"/>
      <c r="D76" s="20"/>
      <c r="E76" s="21" t="s">
        <v>104</v>
      </c>
      <c r="F76" s="21"/>
      <c r="G76" s="21"/>
      <c r="H76" s="21"/>
      <c r="I76" s="21"/>
    </row>
    <row r="77" spans="2:9" ht="18" customHeight="1">
      <c r="B77" s="20" t="s">
        <v>105</v>
      </c>
      <c r="C77" s="20"/>
      <c r="D77" s="20"/>
      <c r="E77" s="21" t="s">
        <v>106</v>
      </c>
      <c r="F77" s="21"/>
      <c r="G77" s="21"/>
      <c r="H77" s="21"/>
      <c r="I77" s="21"/>
    </row>
    <row r="78" spans="2:9" ht="18" customHeight="1">
      <c r="B78" s="20" t="s">
        <v>107</v>
      </c>
      <c r="C78" s="20"/>
      <c r="D78" s="20"/>
      <c r="E78" s="21" t="s">
        <v>108</v>
      </c>
      <c r="F78" s="21"/>
      <c r="G78" s="21"/>
      <c r="H78" s="21"/>
      <c r="I78" s="21"/>
    </row>
    <row r="80" spans="2:9" ht="18" customHeight="1">
      <c r="B80" s="23" t="s">
        <v>111</v>
      </c>
      <c r="C80" s="23"/>
      <c r="D80" s="23"/>
      <c r="E80" s="23"/>
      <c r="F80" s="23"/>
      <c r="G80" s="23"/>
      <c r="H80" s="23"/>
      <c r="I80" s="23"/>
    </row>
    <row r="81" spans="2:9" ht="18" customHeight="1">
      <c r="B81" s="20" t="s">
        <v>99</v>
      </c>
      <c r="C81" s="20"/>
      <c r="D81" s="20"/>
      <c r="E81" s="21" t="s">
        <v>100</v>
      </c>
      <c r="F81" s="21"/>
      <c r="G81" s="21"/>
      <c r="H81" s="21"/>
      <c r="I81" s="21"/>
    </row>
    <row r="82" spans="2:9" ht="18" customHeight="1">
      <c r="B82" s="20" t="s">
        <v>101</v>
      </c>
      <c r="C82" s="20"/>
      <c r="D82" s="20"/>
      <c r="E82" s="21" t="s">
        <v>102</v>
      </c>
      <c r="F82" s="21"/>
      <c r="G82" s="21"/>
      <c r="H82" s="21"/>
      <c r="I82" s="21"/>
    </row>
    <row r="83" spans="2:9" ht="18" customHeight="1">
      <c r="B83" s="20" t="s">
        <v>103</v>
      </c>
      <c r="C83" s="20"/>
      <c r="D83" s="20"/>
      <c r="E83" s="21" t="s">
        <v>104</v>
      </c>
      <c r="F83" s="21"/>
      <c r="G83" s="21"/>
      <c r="H83" s="21"/>
      <c r="I83" s="21"/>
    </row>
    <row r="84" spans="2:9" ht="18" customHeight="1">
      <c r="B84" s="20" t="s">
        <v>105</v>
      </c>
      <c r="C84" s="20"/>
      <c r="D84" s="20"/>
      <c r="E84" s="21" t="s">
        <v>106</v>
      </c>
      <c r="F84" s="21"/>
      <c r="G84" s="21"/>
      <c r="H84" s="21"/>
      <c r="I84" s="21"/>
    </row>
    <row r="85" spans="2:9" ht="18" customHeight="1">
      <c r="B85" s="20" t="s">
        <v>107</v>
      </c>
      <c r="C85" s="20"/>
      <c r="D85" s="20"/>
      <c r="E85" s="21" t="s">
        <v>108</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100</v>
      </c>
      <c r="F88" s="21"/>
      <c r="G88" s="21"/>
      <c r="H88" s="21"/>
      <c r="I88" s="21"/>
    </row>
    <row r="89" spans="2:9" ht="18" customHeight="1">
      <c r="B89" s="20" t="s">
        <v>101</v>
      </c>
      <c r="C89" s="20"/>
      <c r="D89" s="20"/>
      <c r="E89" s="21" t="s">
        <v>102</v>
      </c>
      <c r="F89" s="21"/>
      <c r="G89" s="21"/>
      <c r="H89" s="21"/>
      <c r="I89" s="21"/>
    </row>
    <row r="90" spans="2:9" ht="18" customHeight="1">
      <c r="B90" s="20" t="s">
        <v>103</v>
      </c>
      <c r="C90" s="20"/>
      <c r="D90" s="20"/>
      <c r="E90" s="21" t="s">
        <v>104</v>
      </c>
      <c r="F90" s="21"/>
      <c r="G90" s="21"/>
      <c r="H90" s="21"/>
      <c r="I90" s="21"/>
    </row>
    <row r="91" spans="2:9" ht="18" customHeight="1">
      <c r="B91" s="20" t="s">
        <v>105</v>
      </c>
      <c r="C91" s="20"/>
      <c r="D91" s="20"/>
      <c r="E91" s="21" t="s">
        <v>106</v>
      </c>
      <c r="F91" s="21"/>
      <c r="G91" s="21"/>
      <c r="H91" s="21"/>
      <c r="I91" s="21"/>
    </row>
    <row r="92" spans="2:9" ht="18" customHeight="1">
      <c r="B92" s="20" t="s">
        <v>107</v>
      </c>
      <c r="C92" s="20"/>
      <c r="D92" s="20"/>
      <c r="E92" s="21" t="s">
        <v>108</v>
      </c>
      <c r="F92" s="21"/>
      <c r="G92" s="21"/>
      <c r="H92" s="21"/>
      <c r="I92" s="21"/>
    </row>
    <row r="94" spans="2:9" ht="15.75" customHeight="1">
      <c r="B94" s="22" t="s">
        <v>118</v>
      </c>
      <c r="C94" s="22"/>
      <c r="D94" s="22"/>
      <c r="E94" s="22"/>
      <c r="F94" s="22"/>
      <c r="G94" s="22"/>
      <c r="H94" s="22"/>
      <c r="I94" s="22"/>
    </row>
  </sheetData>
  <mergeCells count="106">
    <mergeCell ref="B2:I2"/>
    <mergeCell ref="B3:I3"/>
    <mergeCell ref="B5:I5"/>
    <mergeCell ref="B6:I6"/>
    <mergeCell ref="B17:I17"/>
    <mergeCell ref="B18:I18"/>
    <mergeCell ref="D19:F19"/>
    <mergeCell ref="G19:H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B46:D46"/>
    <mergeCell ref="E46:I46"/>
    <mergeCell ref="B47:D47"/>
    <mergeCell ref="E47:I47"/>
    <mergeCell ref="B48:D48"/>
    <mergeCell ref="E48:I48"/>
    <mergeCell ref="B49:D49"/>
    <mergeCell ref="E49:I49"/>
    <mergeCell ref="B50:D50"/>
    <mergeCell ref="E50:I50"/>
    <mergeCell ref="B51:D51"/>
    <mergeCell ref="E51:I51"/>
    <mergeCell ref="B52:D52"/>
    <mergeCell ref="E52:I52"/>
    <mergeCell ref="B53:D53"/>
    <mergeCell ref="E53:I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94"/>
  <sheetViews>
    <sheetView showGridLines="0" topLeftCell="A69" zoomScaleNormal="100" workbookViewId="0">
      <selection activeCell="E71" sqref="E71"/>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18" customHeight="1">
      <c r="B8" s="4"/>
      <c r="C8" s="4"/>
      <c r="D8" s="4"/>
      <c r="E8" s="4"/>
      <c r="F8" s="4"/>
      <c r="G8" s="4"/>
      <c r="H8" s="4"/>
      <c r="I8" s="4"/>
    </row>
    <row r="9" spans="2:9" ht="18" customHeight="1">
      <c r="B9" s="4"/>
      <c r="C9" s="4"/>
      <c r="D9" s="4"/>
      <c r="E9" s="4"/>
      <c r="F9" s="4"/>
      <c r="G9" s="4"/>
      <c r="H9" s="4"/>
      <c r="I9" s="4"/>
    </row>
    <row r="10" spans="2:9" ht="18" customHeight="1">
      <c r="B10" s="4"/>
      <c r="C10" s="4"/>
      <c r="D10" s="4"/>
      <c r="E10" s="4"/>
      <c r="F10" s="4"/>
      <c r="G10" s="4"/>
      <c r="H10" s="4"/>
      <c r="I10" s="4"/>
    </row>
    <row r="11" spans="2:9" ht="18" customHeight="1">
      <c r="B11" s="4"/>
      <c r="C11" s="4"/>
      <c r="D11" s="4"/>
      <c r="E11" s="4"/>
      <c r="F11" s="4"/>
      <c r="G11" s="4"/>
      <c r="H11" s="4"/>
      <c r="I11" s="4"/>
    </row>
    <row r="12" spans="2:9" ht="18" customHeight="1">
      <c r="B12" s="4"/>
      <c r="C12" s="4"/>
      <c r="D12" s="4"/>
      <c r="E12" s="4"/>
      <c r="F12" s="4"/>
      <c r="G12" s="4"/>
      <c r="H12" s="4"/>
      <c r="I12" s="4"/>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18" customHeight="1">
      <c r="B21" s="4"/>
      <c r="C21" s="4"/>
      <c r="D21" s="4"/>
      <c r="E21" s="4"/>
      <c r="F21" s="4"/>
      <c r="G21" s="4"/>
      <c r="H21" s="4"/>
      <c r="I21" s="4"/>
    </row>
    <row r="22" spans="2:9" ht="18" customHeight="1">
      <c r="B22" s="4"/>
      <c r="C22" s="4"/>
      <c r="D22" s="4"/>
      <c r="E22" s="4"/>
      <c r="F22" s="4"/>
      <c r="G22" s="4"/>
      <c r="H22" s="4"/>
      <c r="I22" s="4"/>
    </row>
    <row r="23" spans="2:9" ht="18" customHeight="1">
      <c r="B23" s="4"/>
      <c r="C23" s="4"/>
      <c r="D23" s="4"/>
      <c r="E23" s="4"/>
      <c r="F23" s="4"/>
      <c r="G23" s="4"/>
      <c r="H23" s="4"/>
      <c r="I23" s="4"/>
    </row>
    <row r="24" spans="2:9" ht="15.75" customHeight="1">
      <c r="B24" s="32" t="s">
        <v>80</v>
      </c>
      <c r="C24" s="32"/>
      <c r="D24" s="32"/>
      <c r="E24" s="32"/>
      <c r="F24" s="32"/>
      <c r="G24" s="32"/>
      <c r="H24" s="32"/>
      <c r="I24" s="32"/>
    </row>
    <row r="25" spans="2:9" ht="18" customHeight="1">
      <c r="B25" s="4"/>
      <c r="C25" s="4"/>
      <c r="D25" s="4"/>
      <c r="E25" s="4"/>
      <c r="F25" s="4"/>
      <c r="G25" s="4"/>
      <c r="H25" s="4"/>
      <c r="I25" s="4"/>
    </row>
    <row r="26" spans="2:9" ht="18" customHeight="1">
      <c r="B26" s="4"/>
      <c r="C26" s="4"/>
      <c r="D26" s="4"/>
      <c r="E26" s="4"/>
      <c r="F26" s="4"/>
      <c r="G26" s="4"/>
      <c r="H26" s="4"/>
      <c r="I26" s="4"/>
    </row>
    <row r="27" spans="2:9" ht="18" customHeight="1">
      <c r="B27" s="4"/>
      <c r="C27" s="4"/>
      <c r="D27" s="4"/>
      <c r="E27" s="4"/>
      <c r="F27" s="4"/>
      <c r="G27" s="4"/>
      <c r="H27" s="4"/>
      <c r="I27" s="4"/>
    </row>
    <row r="28" spans="2:9" ht="15.75" customHeight="1">
      <c r="B28" s="32" t="s">
        <v>81</v>
      </c>
      <c r="C28" s="32"/>
      <c r="D28" s="32"/>
      <c r="E28" s="32"/>
      <c r="F28" s="32"/>
      <c r="G28" s="32"/>
      <c r="H28" s="32"/>
      <c r="I28" s="32"/>
    </row>
    <row r="29" spans="2:9" ht="18" customHeight="1">
      <c r="B29" s="4"/>
      <c r="C29" s="4"/>
      <c r="D29" s="4"/>
      <c r="E29" s="4"/>
      <c r="F29" s="4"/>
      <c r="G29" s="4"/>
      <c r="H29" s="4"/>
      <c r="I29" s="4"/>
    </row>
    <row r="30" spans="2:9" ht="18" customHeight="1">
      <c r="B30" s="4"/>
      <c r="C30" s="4"/>
      <c r="D30" s="4"/>
      <c r="E30" s="4"/>
      <c r="F30" s="4"/>
      <c r="G30" s="4"/>
      <c r="H30" s="4"/>
      <c r="I30" s="4"/>
    </row>
    <row r="31" spans="2:9" ht="18" customHeight="1">
      <c r="B31" s="4"/>
      <c r="C31" s="4"/>
      <c r="D31" s="4"/>
      <c r="E31" s="4"/>
      <c r="F31" s="4"/>
      <c r="G31" s="4"/>
      <c r="H31" s="4"/>
      <c r="I31" s="4"/>
    </row>
    <row r="32" spans="2:9" ht="15.75" customHeight="1">
      <c r="B32" s="32" t="s">
        <v>82</v>
      </c>
      <c r="C32" s="32"/>
      <c r="D32" s="32"/>
      <c r="E32" s="32"/>
      <c r="F32" s="32"/>
      <c r="G32" s="32"/>
      <c r="H32" s="32"/>
      <c r="I32" s="32"/>
    </row>
    <row r="33" spans="2:9" ht="18" customHeight="1">
      <c r="B33" s="4"/>
      <c r="C33" s="4"/>
      <c r="D33" s="4"/>
      <c r="E33" s="4"/>
      <c r="F33" s="4"/>
      <c r="G33" s="4"/>
      <c r="H33" s="4"/>
      <c r="I33" s="4"/>
    </row>
    <row r="34" spans="2:9" ht="18" customHeight="1">
      <c r="B34" s="4"/>
      <c r="C34" s="4"/>
      <c r="D34" s="4"/>
      <c r="E34" s="4"/>
      <c r="F34" s="4"/>
      <c r="G34" s="4"/>
      <c r="H34" s="4"/>
      <c r="I34" s="4"/>
    </row>
    <row r="35" spans="2:9" ht="18" customHeight="1">
      <c r="B35" s="4"/>
      <c r="C35" s="4"/>
      <c r="D35" s="4"/>
      <c r="E35" s="4"/>
      <c r="F35" s="4"/>
      <c r="G35" s="4"/>
      <c r="H35" s="4"/>
      <c r="I35" s="4"/>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21.75" customHeight="1">
      <c r="B40" s="31" t="s">
        <v>89</v>
      </c>
      <c r="C40" s="31"/>
      <c r="D40" s="31"/>
      <c r="E40" s="28"/>
      <c r="F40" s="28"/>
      <c r="G40" s="28"/>
      <c r="H40" s="28"/>
      <c r="I40" s="28"/>
    </row>
    <row r="41" spans="2:9" ht="21.75" customHeight="1">
      <c r="B41" s="21" t="s">
        <v>90</v>
      </c>
      <c r="C41" s="21"/>
      <c r="D41" s="21"/>
      <c r="E41" s="28"/>
      <c r="F41" s="28"/>
      <c r="G41" s="28"/>
      <c r="H41" s="28"/>
      <c r="I41" s="28"/>
    </row>
    <row r="42" spans="2:9" ht="21.75" customHeight="1">
      <c r="B42" s="21" t="s">
        <v>91</v>
      </c>
      <c r="C42" s="21"/>
      <c r="D42" s="21"/>
      <c r="E42" s="28"/>
      <c r="F42" s="28"/>
      <c r="G42" s="28"/>
      <c r="H42" s="28"/>
      <c r="I42" s="28"/>
    </row>
    <row r="43" spans="2:9" ht="21.75" customHeight="1">
      <c r="B43" s="21" t="s">
        <v>92</v>
      </c>
      <c r="C43" s="21"/>
      <c r="D43" s="21"/>
      <c r="E43" s="28"/>
      <c r="F43" s="28"/>
      <c r="G43" s="28"/>
      <c r="H43" s="28"/>
      <c r="I43" s="28"/>
    </row>
    <row r="44" spans="2:9" ht="21.75" customHeight="1">
      <c r="B44" s="31" t="s">
        <v>93</v>
      </c>
      <c r="C44" s="31"/>
      <c r="D44" s="31"/>
      <c r="E44" s="28"/>
      <c r="F44" s="28"/>
      <c r="G44" s="28"/>
      <c r="H44" s="28"/>
      <c r="I44" s="28"/>
    </row>
    <row r="45" spans="2:9" ht="21.75" customHeight="1">
      <c r="B45" s="21" t="s">
        <v>90</v>
      </c>
      <c r="C45" s="21"/>
      <c r="D45" s="21"/>
      <c r="E45" s="28"/>
      <c r="F45" s="28"/>
      <c r="G45" s="28"/>
      <c r="H45" s="28"/>
      <c r="I45" s="28"/>
    </row>
    <row r="46" spans="2:9" ht="21.75" customHeight="1">
      <c r="B46" s="21" t="s">
        <v>91</v>
      </c>
      <c r="C46" s="21"/>
      <c r="D46" s="21"/>
      <c r="E46" s="28"/>
      <c r="F46" s="28"/>
      <c r="G46" s="28"/>
      <c r="H46" s="28"/>
      <c r="I46" s="28"/>
    </row>
    <row r="47" spans="2:9" ht="21.75" customHeight="1">
      <c r="B47" s="21" t="s">
        <v>92</v>
      </c>
      <c r="C47" s="21"/>
      <c r="D47" s="21"/>
      <c r="E47" s="28"/>
      <c r="F47" s="28"/>
      <c r="G47" s="28"/>
      <c r="H47" s="28"/>
      <c r="I47" s="28"/>
    </row>
    <row r="48" spans="2:9" ht="21.75" customHeight="1">
      <c r="B48" s="31" t="s">
        <v>94</v>
      </c>
      <c r="C48" s="31"/>
      <c r="D48" s="31"/>
      <c r="E48" s="28"/>
      <c r="F48" s="28"/>
      <c r="G48" s="28"/>
      <c r="H48" s="28"/>
      <c r="I48" s="28"/>
    </row>
    <row r="49" spans="2:9" ht="21.75" customHeight="1">
      <c r="B49" s="21" t="s">
        <v>90</v>
      </c>
      <c r="C49" s="21"/>
      <c r="D49" s="21"/>
      <c r="E49" s="28"/>
      <c r="F49" s="28"/>
      <c r="G49" s="28"/>
      <c r="H49" s="28"/>
      <c r="I49" s="28"/>
    </row>
    <row r="50" spans="2:9" ht="21.75" customHeight="1">
      <c r="B50" s="21" t="s">
        <v>91</v>
      </c>
      <c r="C50" s="21"/>
      <c r="D50" s="21"/>
      <c r="E50" s="28"/>
      <c r="F50" s="28"/>
      <c r="G50" s="28"/>
      <c r="H50" s="28"/>
      <c r="I50" s="28"/>
    </row>
    <row r="51" spans="2:9" ht="21.75" customHeight="1">
      <c r="B51" s="21" t="s">
        <v>92</v>
      </c>
      <c r="C51" s="21"/>
      <c r="D51" s="21"/>
      <c r="E51" s="28"/>
      <c r="F51" s="28"/>
      <c r="G51" s="28"/>
      <c r="H51" s="28"/>
      <c r="I51" s="28"/>
    </row>
    <row r="52" spans="2:9" ht="21.75" customHeight="1">
      <c r="B52" s="31" t="s">
        <v>95</v>
      </c>
      <c r="C52" s="31"/>
      <c r="D52" s="31"/>
      <c r="E52" s="28"/>
      <c r="F52" s="28"/>
      <c r="G52" s="28"/>
      <c r="H52" s="28"/>
      <c r="I52" s="28"/>
    </row>
    <row r="53" spans="2:9" ht="21.75" customHeight="1">
      <c r="B53" s="21" t="s">
        <v>90</v>
      </c>
      <c r="C53" s="21"/>
      <c r="D53" s="21"/>
      <c r="E53" s="28"/>
      <c r="F53" s="28"/>
      <c r="G53" s="28"/>
      <c r="H53" s="28"/>
      <c r="I53" s="28"/>
    </row>
    <row r="54" spans="2:9" ht="21.75" customHeight="1">
      <c r="B54" s="21" t="s">
        <v>91</v>
      </c>
      <c r="C54" s="21"/>
      <c r="D54" s="21"/>
      <c r="E54" s="28"/>
      <c r="F54" s="28"/>
      <c r="G54" s="28"/>
      <c r="H54" s="28"/>
      <c r="I54" s="28"/>
    </row>
    <row r="55" spans="2:9" ht="21.75" customHeight="1">
      <c r="B55" s="21" t="s">
        <v>92</v>
      </c>
      <c r="C55" s="21"/>
      <c r="D55" s="21"/>
      <c r="E55" s="28"/>
      <c r="F55" s="28"/>
      <c r="G55" s="28"/>
      <c r="H55" s="28"/>
      <c r="I55" s="28"/>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18" customHeight="1">
      <c r="B60" s="20" t="s">
        <v>99</v>
      </c>
      <c r="C60" s="20"/>
      <c r="D60" s="20"/>
      <c r="E60" s="24" t="s">
        <v>100</v>
      </c>
      <c r="F60" s="24"/>
      <c r="G60" s="24"/>
      <c r="H60" s="24"/>
      <c r="I60" s="24"/>
    </row>
    <row r="61" spans="2:9" ht="18" customHeight="1">
      <c r="B61" s="20" t="s">
        <v>101</v>
      </c>
      <c r="C61" s="20"/>
      <c r="D61" s="20"/>
      <c r="E61" s="24" t="s">
        <v>102</v>
      </c>
      <c r="F61" s="24"/>
      <c r="G61" s="24"/>
      <c r="H61" s="24"/>
      <c r="I61" s="24"/>
    </row>
    <row r="62" spans="2:9" ht="18" customHeight="1">
      <c r="B62" s="20" t="s">
        <v>103</v>
      </c>
      <c r="C62" s="20"/>
      <c r="D62" s="20"/>
      <c r="E62" s="24" t="s">
        <v>104</v>
      </c>
      <c r="F62" s="24"/>
      <c r="G62" s="24"/>
      <c r="H62" s="24"/>
      <c r="I62" s="24"/>
    </row>
    <row r="63" spans="2:9" ht="18" customHeight="1">
      <c r="B63" s="20" t="s">
        <v>105</v>
      </c>
      <c r="C63" s="20"/>
      <c r="D63" s="20"/>
      <c r="E63" s="24" t="s">
        <v>106</v>
      </c>
      <c r="F63" s="24"/>
      <c r="G63" s="24"/>
      <c r="H63" s="24"/>
      <c r="I63" s="24"/>
    </row>
    <row r="64" spans="2:9" ht="18" customHeight="1">
      <c r="B64" s="20" t="s">
        <v>107</v>
      </c>
      <c r="C64" s="20"/>
      <c r="D64" s="20"/>
      <c r="E64" s="24" t="s">
        <v>108</v>
      </c>
      <c r="F64" s="24"/>
      <c r="G64" s="24"/>
      <c r="H64" s="24"/>
      <c r="I64" s="24"/>
    </row>
    <row r="66" spans="2:9" ht="18" customHeight="1">
      <c r="B66" s="23" t="s">
        <v>109</v>
      </c>
      <c r="C66" s="23"/>
      <c r="D66" s="23"/>
      <c r="E66" s="23"/>
      <c r="F66" s="23"/>
      <c r="G66" s="23"/>
      <c r="H66" s="23"/>
      <c r="I66" s="23"/>
    </row>
    <row r="67" spans="2:9" ht="18" customHeight="1">
      <c r="B67" s="20" t="s">
        <v>99</v>
      </c>
      <c r="C67" s="20"/>
      <c r="D67" s="20"/>
      <c r="E67" s="24" t="s">
        <v>100</v>
      </c>
      <c r="F67" s="24"/>
      <c r="G67" s="24"/>
      <c r="H67" s="24"/>
      <c r="I67" s="24"/>
    </row>
    <row r="68" spans="2:9" ht="18" customHeight="1">
      <c r="B68" s="20" t="s">
        <v>101</v>
      </c>
      <c r="C68" s="20"/>
      <c r="D68" s="20"/>
      <c r="E68" s="24" t="s">
        <v>102</v>
      </c>
      <c r="F68" s="24"/>
      <c r="G68" s="24"/>
      <c r="H68" s="24"/>
      <c r="I68" s="24"/>
    </row>
    <row r="69" spans="2:9" ht="18" customHeight="1">
      <c r="B69" s="20" t="s">
        <v>103</v>
      </c>
      <c r="C69" s="20"/>
      <c r="D69" s="20"/>
      <c r="E69" s="24" t="s">
        <v>104</v>
      </c>
      <c r="F69" s="24"/>
      <c r="G69" s="24"/>
      <c r="H69" s="24"/>
      <c r="I69" s="24"/>
    </row>
    <row r="70" spans="2:9" ht="18" customHeight="1">
      <c r="B70" s="20" t="s">
        <v>105</v>
      </c>
      <c r="C70" s="20"/>
      <c r="D70" s="20"/>
      <c r="E70" s="24" t="s">
        <v>106</v>
      </c>
      <c r="F70" s="24"/>
      <c r="G70" s="24"/>
      <c r="H70" s="24"/>
      <c r="I70" s="24"/>
    </row>
    <row r="71" spans="2:9" ht="18" customHeight="1">
      <c r="B71" s="20" t="s">
        <v>107</v>
      </c>
      <c r="C71" s="20"/>
      <c r="D71" s="20"/>
      <c r="E71" s="24" t="s">
        <v>108</v>
      </c>
      <c r="F71" s="24"/>
      <c r="G71" s="24"/>
      <c r="H71" s="24"/>
      <c r="I71" s="24"/>
    </row>
    <row r="73" spans="2:9" ht="18" customHeight="1">
      <c r="B73" s="23" t="s">
        <v>110</v>
      </c>
      <c r="C73" s="23"/>
      <c r="D73" s="23"/>
      <c r="E73" s="23"/>
      <c r="F73" s="23"/>
      <c r="G73" s="23"/>
      <c r="H73" s="23"/>
      <c r="I73" s="23"/>
    </row>
    <row r="74" spans="2:9" ht="18" customHeight="1">
      <c r="B74" s="20" t="s">
        <v>99</v>
      </c>
      <c r="C74" s="20"/>
      <c r="D74" s="20"/>
      <c r="E74" s="21" t="s">
        <v>100</v>
      </c>
      <c r="F74" s="21"/>
      <c r="G74" s="21"/>
      <c r="H74" s="21"/>
      <c r="I74" s="21"/>
    </row>
    <row r="75" spans="2:9" ht="18" customHeight="1">
      <c r="B75" s="20" t="s">
        <v>101</v>
      </c>
      <c r="C75" s="20"/>
      <c r="D75" s="20"/>
      <c r="E75" s="21" t="s">
        <v>102</v>
      </c>
      <c r="F75" s="21"/>
      <c r="G75" s="21"/>
      <c r="H75" s="21"/>
      <c r="I75" s="21"/>
    </row>
    <row r="76" spans="2:9" ht="18" customHeight="1">
      <c r="B76" s="20" t="s">
        <v>103</v>
      </c>
      <c r="C76" s="20"/>
      <c r="D76" s="20"/>
      <c r="E76" s="21" t="s">
        <v>104</v>
      </c>
      <c r="F76" s="21"/>
      <c r="G76" s="21"/>
      <c r="H76" s="21"/>
      <c r="I76" s="21"/>
    </row>
    <row r="77" spans="2:9" ht="18" customHeight="1">
      <c r="B77" s="20" t="s">
        <v>105</v>
      </c>
      <c r="C77" s="20"/>
      <c r="D77" s="20"/>
      <c r="E77" s="21" t="s">
        <v>106</v>
      </c>
      <c r="F77" s="21"/>
      <c r="G77" s="21"/>
      <c r="H77" s="21"/>
      <c r="I77" s="21"/>
    </row>
    <row r="78" spans="2:9" ht="18" customHeight="1">
      <c r="B78" s="20" t="s">
        <v>107</v>
      </c>
      <c r="C78" s="20"/>
      <c r="D78" s="20"/>
      <c r="E78" s="21" t="s">
        <v>108</v>
      </c>
      <c r="F78" s="21"/>
      <c r="G78" s="21"/>
      <c r="H78" s="21"/>
      <c r="I78" s="21"/>
    </row>
    <row r="80" spans="2:9" ht="18" customHeight="1">
      <c r="B80" s="23" t="s">
        <v>111</v>
      </c>
      <c r="C80" s="23"/>
      <c r="D80" s="23"/>
      <c r="E80" s="23"/>
      <c r="F80" s="23"/>
      <c r="G80" s="23"/>
      <c r="H80" s="23"/>
      <c r="I80" s="23"/>
    </row>
    <row r="81" spans="2:9" ht="18" customHeight="1">
      <c r="B81" s="20" t="s">
        <v>99</v>
      </c>
      <c r="C81" s="20"/>
      <c r="D81" s="20"/>
      <c r="E81" s="21" t="s">
        <v>100</v>
      </c>
      <c r="F81" s="21"/>
      <c r="G81" s="21"/>
      <c r="H81" s="21"/>
      <c r="I81" s="21"/>
    </row>
    <row r="82" spans="2:9" ht="18" customHeight="1">
      <c r="B82" s="20" t="s">
        <v>101</v>
      </c>
      <c r="C82" s="20"/>
      <c r="D82" s="20"/>
      <c r="E82" s="21" t="s">
        <v>102</v>
      </c>
      <c r="F82" s="21"/>
      <c r="G82" s="21"/>
      <c r="H82" s="21"/>
      <c r="I82" s="21"/>
    </row>
    <row r="83" spans="2:9" ht="18" customHeight="1">
      <c r="B83" s="20" t="s">
        <v>103</v>
      </c>
      <c r="C83" s="20"/>
      <c r="D83" s="20"/>
      <c r="E83" s="21" t="s">
        <v>104</v>
      </c>
      <c r="F83" s="21"/>
      <c r="G83" s="21"/>
      <c r="H83" s="21"/>
      <c r="I83" s="21"/>
    </row>
    <row r="84" spans="2:9" ht="18" customHeight="1">
      <c r="B84" s="20" t="s">
        <v>105</v>
      </c>
      <c r="C84" s="20"/>
      <c r="D84" s="20"/>
      <c r="E84" s="21" t="s">
        <v>106</v>
      </c>
      <c r="F84" s="21"/>
      <c r="G84" s="21"/>
      <c r="H84" s="21"/>
      <c r="I84" s="21"/>
    </row>
    <row r="85" spans="2:9" ht="18" customHeight="1">
      <c r="B85" s="20" t="s">
        <v>107</v>
      </c>
      <c r="C85" s="20"/>
      <c r="D85" s="20"/>
      <c r="E85" s="21" t="s">
        <v>108</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100</v>
      </c>
      <c r="F88" s="21"/>
      <c r="G88" s="21"/>
      <c r="H88" s="21"/>
      <c r="I88" s="21"/>
    </row>
    <row r="89" spans="2:9" ht="18" customHeight="1">
      <c r="B89" s="20" t="s">
        <v>101</v>
      </c>
      <c r="C89" s="20"/>
      <c r="D89" s="20"/>
      <c r="E89" s="21" t="s">
        <v>102</v>
      </c>
      <c r="F89" s="21"/>
      <c r="G89" s="21"/>
      <c r="H89" s="21"/>
      <c r="I89" s="21"/>
    </row>
    <row r="90" spans="2:9" ht="18" customHeight="1">
      <c r="B90" s="20" t="s">
        <v>103</v>
      </c>
      <c r="C90" s="20"/>
      <c r="D90" s="20"/>
      <c r="E90" s="21" t="s">
        <v>104</v>
      </c>
      <c r="F90" s="21"/>
      <c r="G90" s="21"/>
      <c r="H90" s="21"/>
      <c r="I90" s="21"/>
    </row>
    <row r="91" spans="2:9" ht="18" customHeight="1">
      <c r="B91" s="20" t="s">
        <v>105</v>
      </c>
      <c r="C91" s="20"/>
      <c r="D91" s="20"/>
      <c r="E91" s="21" t="s">
        <v>106</v>
      </c>
      <c r="F91" s="21"/>
      <c r="G91" s="21"/>
      <c r="H91" s="21"/>
      <c r="I91" s="21"/>
    </row>
    <row r="92" spans="2:9" ht="18" customHeight="1">
      <c r="B92" s="20" t="s">
        <v>107</v>
      </c>
      <c r="C92" s="20"/>
      <c r="D92" s="20"/>
      <c r="E92" s="21" t="s">
        <v>108</v>
      </c>
      <c r="F92" s="21"/>
      <c r="G92" s="21"/>
      <c r="H92" s="21"/>
      <c r="I92" s="21"/>
    </row>
    <row r="94" spans="2:9" ht="15.75" customHeight="1">
      <c r="B94" s="22" t="s">
        <v>119</v>
      </c>
      <c r="C94" s="22"/>
      <c r="D94" s="22"/>
      <c r="E94" s="22"/>
      <c r="F94" s="22"/>
      <c r="G94" s="22"/>
      <c r="H94" s="22"/>
      <c r="I94" s="22"/>
    </row>
  </sheetData>
  <mergeCells count="106">
    <mergeCell ref="B2:I2"/>
    <mergeCell ref="B3:I3"/>
    <mergeCell ref="B5:I5"/>
    <mergeCell ref="B6:I6"/>
    <mergeCell ref="B17:I17"/>
    <mergeCell ref="B18:I18"/>
    <mergeCell ref="D19:F19"/>
    <mergeCell ref="G19:H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B46:D46"/>
    <mergeCell ref="E46:I46"/>
    <mergeCell ref="B47:D47"/>
    <mergeCell ref="E47:I47"/>
    <mergeCell ref="B48:D48"/>
    <mergeCell ref="E48:I48"/>
    <mergeCell ref="B49:D49"/>
    <mergeCell ref="E49:I49"/>
    <mergeCell ref="B50:D50"/>
    <mergeCell ref="E50:I50"/>
    <mergeCell ref="B51:D51"/>
    <mergeCell ref="E51:I51"/>
    <mergeCell ref="B52:D52"/>
    <mergeCell ref="E52:I52"/>
    <mergeCell ref="B53:D53"/>
    <mergeCell ref="E53:I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94"/>
  <sheetViews>
    <sheetView showGridLines="0" topLeftCell="A69" zoomScaleNormal="100" workbookViewId="0">
      <selection activeCell="E71" sqref="E71"/>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18" customHeight="1">
      <c r="B8" s="4"/>
      <c r="C8" s="4"/>
      <c r="D8" s="4"/>
      <c r="E8" s="4"/>
      <c r="F8" s="4"/>
      <c r="G8" s="4"/>
      <c r="H8" s="4"/>
      <c r="I8" s="4"/>
    </row>
    <row r="9" spans="2:9" ht="18" customHeight="1">
      <c r="B9" s="4"/>
      <c r="C9" s="4"/>
      <c r="D9" s="4"/>
      <c r="E9" s="4"/>
      <c r="F9" s="4"/>
      <c r="G9" s="4"/>
      <c r="H9" s="4"/>
      <c r="I9" s="4"/>
    </row>
    <row r="10" spans="2:9" ht="18" customHeight="1">
      <c r="B10" s="4"/>
      <c r="C10" s="4"/>
      <c r="D10" s="4"/>
      <c r="E10" s="4"/>
      <c r="F10" s="4"/>
      <c r="G10" s="4"/>
      <c r="H10" s="4"/>
      <c r="I10" s="4"/>
    </row>
    <row r="11" spans="2:9" ht="18" customHeight="1">
      <c r="B11" s="4"/>
      <c r="C11" s="4"/>
      <c r="D11" s="4"/>
      <c r="E11" s="4"/>
      <c r="F11" s="4"/>
      <c r="G11" s="4"/>
      <c r="H11" s="4"/>
      <c r="I11" s="4"/>
    </row>
    <row r="12" spans="2:9" ht="18" customHeight="1">
      <c r="B12" s="4"/>
      <c r="C12" s="4"/>
      <c r="D12" s="4"/>
      <c r="E12" s="4"/>
      <c r="F12" s="4"/>
      <c r="G12" s="4"/>
      <c r="H12" s="4"/>
      <c r="I12" s="4"/>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18" customHeight="1">
      <c r="B21" s="4"/>
      <c r="C21" s="4"/>
      <c r="D21" s="4"/>
      <c r="E21" s="4"/>
      <c r="F21" s="4"/>
      <c r="G21" s="4"/>
      <c r="H21" s="4"/>
      <c r="I21" s="4"/>
    </row>
    <row r="22" spans="2:9" ht="18" customHeight="1">
      <c r="B22" s="4"/>
      <c r="C22" s="4"/>
      <c r="D22" s="4"/>
      <c r="E22" s="4"/>
      <c r="F22" s="4"/>
      <c r="G22" s="4"/>
      <c r="H22" s="4"/>
      <c r="I22" s="4"/>
    </row>
    <row r="23" spans="2:9" ht="18" customHeight="1">
      <c r="B23" s="4"/>
      <c r="C23" s="4"/>
      <c r="D23" s="4"/>
      <c r="E23" s="4"/>
      <c r="F23" s="4"/>
      <c r="G23" s="4"/>
      <c r="H23" s="4"/>
      <c r="I23" s="4"/>
    </row>
    <row r="24" spans="2:9" ht="15.75" customHeight="1">
      <c r="B24" s="32" t="s">
        <v>80</v>
      </c>
      <c r="C24" s="32"/>
      <c r="D24" s="32"/>
      <c r="E24" s="32"/>
      <c r="F24" s="32"/>
      <c r="G24" s="32"/>
      <c r="H24" s="32"/>
      <c r="I24" s="32"/>
    </row>
    <row r="25" spans="2:9" ht="18" customHeight="1">
      <c r="B25" s="4"/>
      <c r="C25" s="4"/>
      <c r="D25" s="4"/>
      <c r="E25" s="4"/>
      <c r="F25" s="4"/>
      <c r="G25" s="4"/>
      <c r="H25" s="4"/>
      <c r="I25" s="4"/>
    </row>
    <row r="26" spans="2:9" ht="18" customHeight="1">
      <c r="B26" s="4"/>
      <c r="C26" s="4"/>
      <c r="D26" s="4"/>
      <c r="E26" s="4"/>
      <c r="F26" s="4"/>
      <c r="G26" s="4"/>
      <c r="H26" s="4"/>
      <c r="I26" s="4"/>
    </row>
    <row r="27" spans="2:9" ht="18" customHeight="1">
      <c r="B27" s="4"/>
      <c r="C27" s="4"/>
      <c r="D27" s="4"/>
      <c r="E27" s="4"/>
      <c r="F27" s="4"/>
      <c r="G27" s="4"/>
      <c r="H27" s="4"/>
      <c r="I27" s="4"/>
    </row>
    <row r="28" spans="2:9" ht="15.75" customHeight="1">
      <c r="B28" s="32" t="s">
        <v>81</v>
      </c>
      <c r="C28" s="32"/>
      <c r="D28" s="32"/>
      <c r="E28" s="32"/>
      <c r="F28" s="32"/>
      <c r="G28" s="32"/>
      <c r="H28" s="32"/>
      <c r="I28" s="32"/>
    </row>
    <row r="29" spans="2:9" ht="18" customHeight="1">
      <c r="B29" s="4"/>
      <c r="C29" s="4"/>
      <c r="D29" s="4"/>
      <c r="E29" s="4"/>
      <c r="F29" s="4"/>
      <c r="G29" s="4"/>
      <c r="H29" s="4"/>
      <c r="I29" s="4"/>
    </row>
    <row r="30" spans="2:9" ht="18" customHeight="1">
      <c r="B30" s="4"/>
      <c r="C30" s="4"/>
      <c r="D30" s="4"/>
      <c r="E30" s="4"/>
      <c r="F30" s="4"/>
      <c r="G30" s="4"/>
      <c r="H30" s="4"/>
      <c r="I30" s="4"/>
    </row>
    <row r="31" spans="2:9" ht="18" customHeight="1">
      <c r="B31" s="4"/>
      <c r="C31" s="4"/>
      <c r="D31" s="4"/>
      <c r="E31" s="4"/>
      <c r="F31" s="4"/>
      <c r="G31" s="4"/>
      <c r="H31" s="4"/>
      <c r="I31" s="4"/>
    </row>
    <row r="32" spans="2:9" ht="15.75" customHeight="1">
      <c r="B32" s="32" t="s">
        <v>82</v>
      </c>
      <c r="C32" s="32"/>
      <c r="D32" s="32"/>
      <c r="E32" s="32"/>
      <c r="F32" s="32"/>
      <c r="G32" s="32"/>
      <c r="H32" s="32"/>
      <c r="I32" s="32"/>
    </row>
    <row r="33" spans="2:9" ht="18" customHeight="1">
      <c r="B33" s="4"/>
      <c r="C33" s="4"/>
      <c r="D33" s="4"/>
      <c r="E33" s="4"/>
      <c r="F33" s="4"/>
      <c r="G33" s="4"/>
      <c r="H33" s="4"/>
      <c r="I33" s="4"/>
    </row>
    <row r="34" spans="2:9" ht="18" customHeight="1">
      <c r="B34" s="4"/>
      <c r="C34" s="4"/>
      <c r="D34" s="4"/>
      <c r="E34" s="4"/>
      <c r="F34" s="4"/>
      <c r="G34" s="4"/>
      <c r="H34" s="4"/>
      <c r="I34" s="4"/>
    </row>
    <row r="35" spans="2:9" ht="18" customHeight="1">
      <c r="B35" s="4"/>
      <c r="C35" s="4"/>
      <c r="D35" s="4"/>
      <c r="E35" s="4"/>
      <c r="F35" s="4"/>
      <c r="G35" s="4"/>
      <c r="H35" s="4"/>
      <c r="I35" s="4"/>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21.75" customHeight="1">
      <c r="B40" s="31" t="s">
        <v>89</v>
      </c>
      <c r="C40" s="31"/>
      <c r="D40" s="31"/>
      <c r="E40" s="28"/>
      <c r="F40" s="28"/>
      <c r="G40" s="28"/>
      <c r="H40" s="28"/>
      <c r="I40" s="28"/>
    </row>
    <row r="41" spans="2:9" ht="21.75" customHeight="1">
      <c r="B41" s="21" t="s">
        <v>90</v>
      </c>
      <c r="C41" s="21"/>
      <c r="D41" s="21"/>
      <c r="E41" s="28"/>
      <c r="F41" s="28"/>
      <c r="G41" s="28"/>
      <c r="H41" s="28"/>
      <c r="I41" s="28"/>
    </row>
    <row r="42" spans="2:9" ht="21.75" customHeight="1">
      <c r="B42" s="21" t="s">
        <v>91</v>
      </c>
      <c r="C42" s="21"/>
      <c r="D42" s="21"/>
      <c r="E42" s="28"/>
      <c r="F42" s="28"/>
      <c r="G42" s="28"/>
      <c r="H42" s="28"/>
      <c r="I42" s="28"/>
    </row>
    <row r="43" spans="2:9" ht="21.75" customHeight="1">
      <c r="B43" s="21" t="s">
        <v>92</v>
      </c>
      <c r="C43" s="21"/>
      <c r="D43" s="21"/>
      <c r="E43" s="28"/>
      <c r="F43" s="28"/>
      <c r="G43" s="28"/>
      <c r="H43" s="28"/>
      <c r="I43" s="28"/>
    </row>
    <row r="44" spans="2:9" ht="21.75" customHeight="1">
      <c r="B44" s="31" t="s">
        <v>93</v>
      </c>
      <c r="C44" s="31"/>
      <c r="D44" s="31"/>
      <c r="E44" s="28"/>
      <c r="F44" s="28"/>
      <c r="G44" s="28"/>
      <c r="H44" s="28"/>
      <c r="I44" s="28"/>
    </row>
    <row r="45" spans="2:9" ht="21.75" customHeight="1">
      <c r="B45" s="21" t="s">
        <v>90</v>
      </c>
      <c r="C45" s="21"/>
      <c r="D45" s="21"/>
      <c r="E45" s="28"/>
      <c r="F45" s="28"/>
      <c r="G45" s="28"/>
      <c r="H45" s="28"/>
      <c r="I45" s="28"/>
    </row>
    <row r="46" spans="2:9" ht="21.75" customHeight="1">
      <c r="B46" s="21" t="s">
        <v>91</v>
      </c>
      <c r="C46" s="21"/>
      <c r="D46" s="21"/>
      <c r="E46" s="28"/>
      <c r="F46" s="28"/>
      <c r="G46" s="28"/>
      <c r="H46" s="28"/>
      <c r="I46" s="28"/>
    </row>
    <row r="47" spans="2:9" ht="21.75" customHeight="1">
      <c r="B47" s="21" t="s">
        <v>92</v>
      </c>
      <c r="C47" s="21"/>
      <c r="D47" s="21"/>
      <c r="E47" s="28"/>
      <c r="F47" s="28"/>
      <c r="G47" s="28"/>
      <c r="H47" s="28"/>
      <c r="I47" s="28"/>
    </row>
    <row r="48" spans="2:9" ht="21.75" customHeight="1">
      <c r="B48" s="31" t="s">
        <v>94</v>
      </c>
      <c r="C48" s="31"/>
      <c r="D48" s="31"/>
      <c r="E48" s="28"/>
      <c r="F48" s="28"/>
      <c r="G48" s="28"/>
      <c r="H48" s="28"/>
      <c r="I48" s="28"/>
    </row>
    <row r="49" spans="2:9" ht="21.75" customHeight="1">
      <c r="B49" s="21" t="s">
        <v>90</v>
      </c>
      <c r="C49" s="21"/>
      <c r="D49" s="21"/>
      <c r="E49" s="28"/>
      <c r="F49" s="28"/>
      <c r="G49" s="28"/>
      <c r="H49" s="28"/>
      <c r="I49" s="28"/>
    </row>
    <row r="50" spans="2:9" ht="21.75" customHeight="1">
      <c r="B50" s="21" t="s">
        <v>91</v>
      </c>
      <c r="C50" s="21"/>
      <c r="D50" s="21"/>
      <c r="E50" s="28"/>
      <c r="F50" s="28"/>
      <c r="G50" s="28"/>
      <c r="H50" s="28"/>
      <c r="I50" s="28"/>
    </row>
    <row r="51" spans="2:9" ht="21.75" customHeight="1">
      <c r="B51" s="21" t="s">
        <v>92</v>
      </c>
      <c r="C51" s="21"/>
      <c r="D51" s="21"/>
      <c r="E51" s="28"/>
      <c r="F51" s="28"/>
      <c r="G51" s="28"/>
      <c r="H51" s="28"/>
      <c r="I51" s="28"/>
    </row>
    <row r="52" spans="2:9" ht="21.75" customHeight="1">
      <c r="B52" s="31" t="s">
        <v>95</v>
      </c>
      <c r="C52" s="31"/>
      <c r="D52" s="31"/>
      <c r="E52" s="28"/>
      <c r="F52" s="28"/>
      <c r="G52" s="28"/>
      <c r="H52" s="28"/>
      <c r="I52" s="28"/>
    </row>
    <row r="53" spans="2:9" ht="21.75" customHeight="1">
      <c r="B53" s="21" t="s">
        <v>90</v>
      </c>
      <c r="C53" s="21"/>
      <c r="D53" s="21"/>
      <c r="E53" s="28"/>
      <c r="F53" s="28"/>
      <c r="G53" s="28"/>
      <c r="H53" s="28"/>
      <c r="I53" s="28"/>
    </row>
    <row r="54" spans="2:9" ht="21.75" customHeight="1">
      <c r="B54" s="21" t="s">
        <v>91</v>
      </c>
      <c r="C54" s="21"/>
      <c r="D54" s="21"/>
      <c r="E54" s="28"/>
      <c r="F54" s="28"/>
      <c r="G54" s="28"/>
      <c r="H54" s="28"/>
      <c r="I54" s="28"/>
    </row>
    <row r="55" spans="2:9" ht="21.75" customHeight="1">
      <c r="B55" s="21" t="s">
        <v>92</v>
      </c>
      <c r="C55" s="21"/>
      <c r="D55" s="21"/>
      <c r="E55" s="28"/>
      <c r="F55" s="28"/>
      <c r="G55" s="28"/>
      <c r="H55" s="28"/>
      <c r="I55" s="28"/>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18" customHeight="1">
      <c r="B60" s="20" t="s">
        <v>99</v>
      </c>
      <c r="C60" s="20"/>
      <c r="D60" s="20"/>
      <c r="E60" s="24" t="s">
        <v>100</v>
      </c>
      <c r="F60" s="24"/>
      <c r="G60" s="24"/>
      <c r="H60" s="24"/>
      <c r="I60" s="24"/>
    </row>
    <row r="61" spans="2:9" ht="18" customHeight="1">
      <c r="B61" s="20" t="s">
        <v>101</v>
      </c>
      <c r="C61" s="20"/>
      <c r="D61" s="20"/>
      <c r="E61" s="24" t="s">
        <v>102</v>
      </c>
      <c r="F61" s="24"/>
      <c r="G61" s="24"/>
      <c r="H61" s="24"/>
      <c r="I61" s="24"/>
    </row>
    <row r="62" spans="2:9" ht="18" customHeight="1">
      <c r="B62" s="20" t="s">
        <v>103</v>
      </c>
      <c r="C62" s="20"/>
      <c r="D62" s="20"/>
      <c r="E62" s="24" t="s">
        <v>104</v>
      </c>
      <c r="F62" s="24"/>
      <c r="G62" s="24"/>
      <c r="H62" s="24"/>
      <c r="I62" s="24"/>
    </row>
    <row r="63" spans="2:9" ht="18" customHeight="1">
      <c r="B63" s="20" t="s">
        <v>105</v>
      </c>
      <c r="C63" s="20"/>
      <c r="D63" s="20"/>
      <c r="E63" s="24" t="s">
        <v>106</v>
      </c>
      <c r="F63" s="24"/>
      <c r="G63" s="24"/>
      <c r="H63" s="24"/>
      <c r="I63" s="24"/>
    </row>
    <row r="64" spans="2:9" ht="18" customHeight="1">
      <c r="B64" s="20" t="s">
        <v>107</v>
      </c>
      <c r="C64" s="20"/>
      <c r="D64" s="20"/>
      <c r="E64" s="24" t="s">
        <v>108</v>
      </c>
      <c r="F64" s="24"/>
      <c r="G64" s="24"/>
      <c r="H64" s="24"/>
      <c r="I64" s="24"/>
    </row>
    <row r="66" spans="2:9" ht="18" customHeight="1">
      <c r="B66" s="23" t="s">
        <v>109</v>
      </c>
      <c r="C66" s="23"/>
      <c r="D66" s="23"/>
      <c r="E66" s="23"/>
      <c r="F66" s="23"/>
      <c r="G66" s="23"/>
      <c r="H66" s="23"/>
      <c r="I66" s="23"/>
    </row>
    <row r="67" spans="2:9" ht="18" customHeight="1">
      <c r="B67" s="20" t="s">
        <v>99</v>
      </c>
      <c r="C67" s="20"/>
      <c r="D67" s="20"/>
      <c r="E67" s="24" t="s">
        <v>100</v>
      </c>
      <c r="F67" s="24"/>
      <c r="G67" s="24"/>
      <c r="H67" s="24"/>
      <c r="I67" s="24"/>
    </row>
    <row r="68" spans="2:9" ht="18" customHeight="1">
      <c r="B68" s="20" t="s">
        <v>101</v>
      </c>
      <c r="C68" s="20"/>
      <c r="D68" s="20"/>
      <c r="E68" s="24" t="s">
        <v>102</v>
      </c>
      <c r="F68" s="24"/>
      <c r="G68" s="24"/>
      <c r="H68" s="24"/>
      <c r="I68" s="24"/>
    </row>
    <row r="69" spans="2:9" ht="18" customHeight="1">
      <c r="B69" s="20" t="s">
        <v>103</v>
      </c>
      <c r="C69" s="20"/>
      <c r="D69" s="20"/>
      <c r="E69" s="24" t="s">
        <v>104</v>
      </c>
      <c r="F69" s="24"/>
      <c r="G69" s="24"/>
      <c r="H69" s="24"/>
      <c r="I69" s="24"/>
    </row>
    <row r="70" spans="2:9" ht="18" customHeight="1">
      <c r="B70" s="20" t="s">
        <v>105</v>
      </c>
      <c r="C70" s="20"/>
      <c r="D70" s="20"/>
      <c r="E70" s="24" t="s">
        <v>106</v>
      </c>
      <c r="F70" s="24"/>
      <c r="G70" s="24"/>
      <c r="H70" s="24"/>
      <c r="I70" s="24"/>
    </row>
    <row r="71" spans="2:9" ht="18" customHeight="1">
      <c r="B71" s="20" t="s">
        <v>107</v>
      </c>
      <c r="C71" s="20"/>
      <c r="D71" s="20"/>
      <c r="E71" s="24" t="s">
        <v>108</v>
      </c>
      <c r="F71" s="24"/>
      <c r="G71" s="24"/>
      <c r="H71" s="24"/>
      <c r="I71" s="24"/>
    </row>
    <row r="73" spans="2:9" ht="18" customHeight="1">
      <c r="B73" s="23" t="s">
        <v>110</v>
      </c>
      <c r="C73" s="23"/>
      <c r="D73" s="23"/>
      <c r="E73" s="23"/>
      <c r="F73" s="23"/>
      <c r="G73" s="23"/>
      <c r="H73" s="23"/>
      <c r="I73" s="23"/>
    </row>
    <row r="74" spans="2:9" ht="18" customHeight="1">
      <c r="B74" s="20" t="s">
        <v>99</v>
      </c>
      <c r="C74" s="20"/>
      <c r="D74" s="20"/>
      <c r="E74" s="21" t="s">
        <v>100</v>
      </c>
      <c r="F74" s="21"/>
      <c r="G74" s="21"/>
      <c r="H74" s="21"/>
      <c r="I74" s="21"/>
    </row>
    <row r="75" spans="2:9" ht="18" customHeight="1">
      <c r="B75" s="20" t="s">
        <v>101</v>
      </c>
      <c r="C75" s="20"/>
      <c r="D75" s="20"/>
      <c r="E75" s="21" t="s">
        <v>102</v>
      </c>
      <c r="F75" s="21"/>
      <c r="G75" s="21"/>
      <c r="H75" s="21"/>
      <c r="I75" s="21"/>
    </row>
    <row r="76" spans="2:9" ht="18" customHeight="1">
      <c r="B76" s="20" t="s">
        <v>103</v>
      </c>
      <c r="C76" s="20"/>
      <c r="D76" s="20"/>
      <c r="E76" s="21" t="s">
        <v>104</v>
      </c>
      <c r="F76" s="21"/>
      <c r="G76" s="21"/>
      <c r="H76" s="21"/>
      <c r="I76" s="21"/>
    </row>
    <row r="77" spans="2:9" ht="18" customHeight="1">
      <c r="B77" s="20" t="s">
        <v>105</v>
      </c>
      <c r="C77" s="20"/>
      <c r="D77" s="20"/>
      <c r="E77" s="21" t="s">
        <v>106</v>
      </c>
      <c r="F77" s="21"/>
      <c r="G77" s="21"/>
      <c r="H77" s="21"/>
      <c r="I77" s="21"/>
    </row>
    <row r="78" spans="2:9" ht="18" customHeight="1">
      <c r="B78" s="20" t="s">
        <v>107</v>
      </c>
      <c r="C78" s="20"/>
      <c r="D78" s="20"/>
      <c r="E78" s="21" t="s">
        <v>108</v>
      </c>
      <c r="F78" s="21"/>
      <c r="G78" s="21"/>
      <c r="H78" s="21"/>
      <c r="I78" s="21"/>
    </row>
    <row r="80" spans="2:9" ht="18" customHeight="1">
      <c r="B80" s="23" t="s">
        <v>111</v>
      </c>
      <c r="C80" s="23"/>
      <c r="D80" s="23"/>
      <c r="E80" s="23"/>
      <c r="F80" s="23"/>
      <c r="G80" s="23"/>
      <c r="H80" s="23"/>
      <c r="I80" s="23"/>
    </row>
    <row r="81" spans="2:9" ht="18" customHeight="1">
      <c r="B81" s="20" t="s">
        <v>99</v>
      </c>
      <c r="C81" s="20"/>
      <c r="D81" s="20"/>
      <c r="E81" s="21" t="s">
        <v>100</v>
      </c>
      <c r="F81" s="21"/>
      <c r="G81" s="21"/>
      <c r="H81" s="21"/>
      <c r="I81" s="21"/>
    </row>
    <row r="82" spans="2:9" ht="18" customHeight="1">
      <c r="B82" s="20" t="s">
        <v>101</v>
      </c>
      <c r="C82" s="20"/>
      <c r="D82" s="20"/>
      <c r="E82" s="21" t="s">
        <v>102</v>
      </c>
      <c r="F82" s="21"/>
      <c r="G82" s="21"/>
      <c r="H82" s="21"/>
      <c r="I82" s="21"/>
    </row>
    <row r="83" spans="2:9" ht="18" customHeight="1">
      <c r="B83" s="20" t="s">
        <v>103</v>
      </c>
      <c r="C83" s="20"/>
      <c r="D83" s="20"/>
      <c r="E83" s="21" t="s">
        <v>104</v>
      </c>
      <c r="F83" s="21"/>
      <c r="G83" s="21"/>
      <c r="H83" s="21"/>
      <c r="I83" s="21"/>
    </row>
    <row r="84" spans="2:9" ht="18" customHeight="1">
      <c r="B84" s="20" t="s">
        <v>105</v>
      </c>
      <c r="C84" s="20"/>
      <c r="D84" s="20"/>
      <c r="E84" s="21" t="s">
        <v>106</v>
      </c>
      <c r="F84" s="21"/>
      <c r="G84" s="21"/>
      <c r="H84" s="21"/>
      <c r="I84" s="21"/>
    </row>
    <row r="85" spans="2:9" ht="18" customHeight="1">
      <c r="B85" s="20" t="s">
        <v>107</v>
      </c>
      <c r="C85" s="20"/>
      <c r="D85" s="20"/>
      <c r="E85" s="21" t="s">
        <v>108</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100</v>
      </c>
      <c r="F88" s="21"/>
      <c r="G88" s="21"/>
      <c r="H88" s="21"/>
      <c r="I88" s="21"/>
    </row>
    <row r="89" spans="2:9" ht="18" customHeight="1">
      <c r="B89" s="20" t="s">
        <v>101</v>
      </c>
      <c r="C89" s="20"/>
      <c r="D89" s="20"/>
      <c r="E89" s="21" t="s">
        <v>102</v>
      </c>
      <c r="F89" s="21"/>
      <c r="G89" s="21"/>
      <c r="H89" s="21"/>
      <c r="I89" s="21"/>
    </row>
    <row r="90" spans="2:9" ht="18" customHeight="1">
      <c r="B90" s="20" t="s">
        <v>103</v>
      </c>
      <c r="C90" s="20"/>
      <c r="D90" s="20"/>
      <c r="E90" s="21" t="s">
        <v>104</v>
      </c>
      <c r="F90" s="21"/>
      <c r="G90" s="21"/>
      <c r="H90" s="21"/>
      <c r="I90" s="21"/>
    </row>
    <row r="91" spans="2:9" ht="18" customHeight="1">
      <c r="B91" s="20" t="s">
        <v>105</v>
      </c>
      <c r="C91" s="20"/>
      <c r="D91" s="20"/>
      <c r="E91" s="21" t="s">
        <v>106</v>
      </c>
      <c r="F91" s="21"/>
      <c r="G91" s="21"/>
      <c r="H91" s="21"/>
      <c r="I91" s="21"/>
    </row>
    <row r="92" spans="2:9" ht="18" customHeight="1">
      <c r="B92" s="20" t="s">
        <v>107</v>
      </c>
      <c r="C92" s="20"/>
      <c r="D92" s="20"/>
      <c r="E92" s="21" t="s">
        <v>108</v>
      </c>
      <c r="F92" s="21"/>
      <c r="G92" s="21"/>
      <c r="H92" s="21"/>
      <c r="I92" s="21"/>
    </row>
    <row r="94" spans="2:9" ht="15.75" customHeight="1">
      <c r="B94" s="22" t="s">
        <v>120</v>
      </c>
      <c r="C94" s="22"/>
      <c r="D94" s="22"/>
      <c r="E94" s="22"/>
      <c r="F94" s="22"/>
      <c r="G94" s="22"/>
      <c r="H94" s="22"/>
      <c r="I94" s="22"/>
    </row>
  </sheetData>
  <mergeCells count="106">
    <mergeCell ref="B2:I2"/>
    <mergeCell ref="B3:I3"/>
    <mergeCell ref="B5:I5"/>
    <mergeCell ref="B6:I6"/>
    <mergeCell ref="B17:I17"/>
    <mergeCell ref="B18:I18"/>
    <mergeCell ref="D19:F19"/>
    <mergeCell ref="G19:H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B46:D46"/>
    <mergeCell ref="E46:I46"/>
    <mergeCell ref="B47:D47"/>
    <mergeCell ref="E47:I47"/>
    <mergeCell ref="B48:D48"/>
    <mergeCell ref="E48:I48"/>
    <mergeCell ref="B49:D49"/>
    <mergeCell ref="E49:I49"/>
    <mergeCell ref="B50:D50"/>
    <mergeCell ref="E50:I50"/>
    <mergeCell ref="B51:D51"/>
    <mergeCell ref="E51:I51"/>
    <mergeCell ref="B52:D52"/>
    <mergeCell ref="E52:I52"/>
    <mergeCell ref="B53:D53"/>
    <mergeCell ref="E53:I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94"/>
  <sheetViews>
    <sheetView showGridLines="0" topLeftCell="E69" zoomScaleNormal="100" workbookViewId="0">
      <selection activeCell="E71" sqref="E71"/>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18" customHeight="1">
      <c r="B8" s="4"/>
      <c r="C8" s="4"/>
      <c r="D8" s="4"/>
      <c r="E8" s="4"/>
      <c r="F8" s="4"/>
      <c r="G8" s="4"/>
      <c r="H8" s="4"/>
      <c r="I8" s="4"/>
    </row>
    <row r="9" spans="2:9" ht="18" customHeight="1">
      <c r="B9" s="4"/>
      <c r="C9" s="4"/>
      <c r="D9" s="4"/>
      <c r="E9" s="4"/>
      <c r="F9" s="4"/>
      <c r="G9" s="4"/>
      <c r="H9" s="4"/>
      <c r="I9" s="4"/>
    </row>
    <row r="10" spans="2:9" ht="18" customHeight="1">
      <c r="B10" s="4"/>
      <c r="C10" s="4"/>
      <c r="D10" s="4"/>
      <c r="E10" s="4"/>
      <c r="F10" s="4"/>
      <c r="G10" s="4"/>
      <c r="H10" s="4"/>
      <c r="I10" s="4"/>
    </row>
    <row r="11" spans="2:9" ht="18" customHeight="1">
      <c r="B11" s="4"/>
      <c r="C11" s="4"/>
      <c r="D11" s="4"/>
      <c r="E11" s="4"/>
      <c r="F11" s="4"/>
      <c r="G11" s="4"/>
      <c r="H11" s="4"/>
      <c r="I11" s="4"/>
    </row>
    <row r="12" spans="2:9" ht="18" customHeight="1">
      <c r="B12" s="4"/>
      <c r="C12" s="4"/>
      <c r="D12" s="4"/>
      <c r="E12" s="4"/>
      <c r="F12" s="4"/>
      <c r="G12" s="4"/>
      <c r="H12" s="4"/>
      <c r="I12" s="4"/>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18" customHeight="1">
      <c r="B21" s="4"/>
      <c r="C21" s="4"/>
      <c r="D21" s="4"/>
      <c r="E21" s="4"/>
      <c r="F21" s="4"/>
      <c r="G21" s="4"/>
      <c r="H21" s="4"/>
      <c r="I21" s="4"/>
    </row>
    <row r="22" spans="2:9" ht="18" customHeight="1">
      <c r="B22" s="4"/>
      <c r="C22" s="4"/>
      <c r="D22" s="4"/>
      <c r="E22" s="4"/>
      <c r="F22" s="4"/>
      <c r="G22" s="4"/>
      <c r="H22" s="4"/>
      <c r="I22" s="4"/>
    </row>
    <row r="23" spans="2:9" ht="18" customHeight="1">
      <c r="B23" s="4"/>
      <c r="C23" s="4"/>
      <c r="D23" s="4"/>
      <c r="E23" s="4"/>
      <c r="F23" s="4"/>
      <c r="G23" s="4"/>
      <c r="H23" s="4"/>
      <c r="I23" s="4"/>
    </row>
    <row r="24" spans="2:9" ht="15.75" customHeight="1">
      <c r="B24" s="32" t="s">
        <v>80</v>
      </c>
      <c r="C24" s="32"/>
      <c r="D24" s="32"/>
      <c r="E24" s="32"/>
      <c r="F24" s="32"/>
      <c r="G24" s="32"/>
      <c r="H24" s="32"/>
      <c r="I24" s="32"/>
    </row>
    <row r="25" spans="2:9" ht="18" customHeight="1">
      <c r="B25" s="4"/>
      <c r="C25" s="4"/>
      <c r="D25" s="4"/>
      <c r="E25" s="4"/>
      <c r="F25" s="4"/>
      <c r="G25" s="4"/>
      <c r="H25" s="4"/>
      <c r="I25" s="4"/>
    </row>
    <row r="26" spans="2:9" ht="18" customHeight="1">
      <c r="B26" s="4"/>
      <c r="C26" s="4"/>
      <c r="D26" s="4"/>
      <c r="E26" s="4"/>
      <c r="F26" s="4"/>
      <c r="G26" s="4"/>
      <c r="H26" s="4"/>
      <c r="I26" s="4"/>
    </row>
    <row r="27" spans="2:9" ht="18" customHeight="1">
      <c r="B27" s="4"/>
      <c r="C27" s="4"/>
      <c r="D27" s="4"/>
      <c r="E27" s="4"/>
      <c r="F27" s="4"/>
      <c r="G27" s="4"/>
      <c r="H27" s="4"/>
      <c r="I27" s="4"/>
    </row>
    <row r="28" spans="2:9" ht="15.75" customHeight="1">
      <c r="B28" s="32" t="s">
        <v>81</v>
      </c>
      <c r="C28" s="32"/>
      <c r="D28" s="32"/>
      <c r="E28" s="32"/>
      <c r="F28" s="32"/>
      <c r="G28" s="32"/>
      <c r="H28" s="32"/>
      <c r="I28" s="32"/>
    </row>
    <row r="29" spans="2:9" ht="18" customHeight="1">
      <c r="B29" s="4"/>
      <c r="C29" s="4"/>
      <c r="D29" s="4"/>
      <c r="E29" s="4"/>
      <c r="F29" s="4"/>
      <c r="G29" s="4"/>
      <c r="H29" s="4"/>
      <c r="I29" s="4"/>
    </row>
    <row r="30" spans="2:9" ht="18" customHeight="1">
      <c r="B30" s="4"/>
      <c r="C30" s="4"/>
      <c r="D30" s="4"/>
      <c r="E30" s="4"/>
      <c r="F30" s="4"/>
      <c r="G30" s="4"/>
      <c r="H30" s="4"/>
      <c r="I30" s="4"/>
    </row>
    <row r="31" spans="2:9" ht="18" customHeight="1">
      <c r="B31" s="4"/>
      <c r="C31" s="4"/>
      <c r="D31" s="4"/>
      <c r="E31" s="4"/>
      <c r="F31" s="4"/>
      <c r="G31" s="4"/>
      <c r="H31" s="4"/>
      <c r="I31" s="4"/>
    </row>
    <row r="32" spans="2:9" ht="15.75" customHeight="1">
      <c r="B32" s="32" t="s">
        <v>82</v>
      </c>
      <c r="C32" s="32"/>
      <c r="D32" s="32"/>
      <c r="E32" s="32"/>
      <c r="F32" s="32"/>
      <c r="G32" s="32"/>
      <c r="H32" s="32"/>
      <c r="I32" s="32"/>
    </row>
    <row r="33" spans="2:9" ht="18" customHeight="1">
      <c r="B33" s="4"/>
      <c r="C33" s="4"/>
      <c r="D33" s="4"/>
      <c r="E33" s="4"/>
      <c r="F33" s="4"/>
      <c r="G33" s="4"/>
      <c r="H33" s="4"/>
      <c r="I33" s="4"/>
    </row>
    <row r="34" spans="2:9" ht="18" customHeight="1">
      <c r="B34" s="4"/>
      <c r="C34" s="4"/>
      <c r="D34" s="4"/>
      <c r="E34" s="4"/>
      <c r="F34" s="4"/>
      <c r="G34" s="4"/>
      <c r="H34" s="4"/>
      <c r="I34" s="4"/>
    </row>
    <row r="35" spans="2:9" ht="18" customHeight="1">
      <c r="B35" s="4"/>
      <c r="C35" s="4"/>
      <c r="D35" s="4"/>
      <c r="E35" s="4"/>
      <c r="F35" s="4"/>
      <c r="G35" s="4"/>
      <c r="H35" s="4"/>
      <c r="I35" s="4"/>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21.75" customHeight="1">
      <c r="B40" s="31" t="s">
        <v>89</v>
      </c>
      <c r="C40" s="31"/>
      <c r="D40" s="31"/>
      <c r="E40" s="28"/>
      <c r="F40" s="28"/>
      <c r="G40" s="28"/>
      <c r="H40" s="28"/>
      <c r="I40" s="28"/>
    </row>
    <row r="41" spans="2:9" ht="21.75" customHeight="1">
      <c r="B41" s="21" t="s">
        <v>90</v>
      </c>
      <c r="C41" s="21"/>
      <c r="D41" s="21"/>
      <c r="E41" s="28"/>
      <c r="F41" s="28"/>
      <c r="G41" s="28"/>
      <c r="H41" s="28"/>
      <c r="I41" s="28"/>
    </row>
    <row r="42" spans="2:9" ht="21.75" customHeight="1">
      <c r="B42" s="21" t="s">
        <v>91</v>
      </c>
      <c r="C42" s="21"/>
      <c r="D42" s="21"/>
      <c r="E42" s="28"/>
      <c r="F42" s="28"/>
      <c r="G42" s="28"/>
      <c r="H42" s="28"/>
      <c r="I42" s="28"/>
    </row>
    <row r="43" spans="2:9" ht="21.75" customHeight="1">
      <c r="B43" s="21" t="s">
        <v>92</v>
      </c>
      <c r="C43" s="21"/>
      <c r="D43" s="21"/>
      <c r="E43" s="28"/>
      <c r="F43" s="28"/>
      <c r="G43" s="28"/>
      <c r="H43" s="28"/>
      <c r="I43" s="28"/>
    </row>
    <row r="44" spans="2:9" ht="21.75" customHeight="1">
      <c r="B44" s="31" t="s">
        <v>93</v>
      </c>
      <c r="C44" s="31"/>
      <c r="D44" s="31"/>
      <c r="E44" s="28"/>
      <c r="F44" s="28"/>
      <c r="G44" s="28"/>
      <c r="H44" s="28"/>
      <c r="I44" s="28"/>
    </row>
    <row r="45" spans="2:9" ht="21.75" customHeight="1">
      <c r="B45" s="21" t="s">
        <v>90</v>
      </c>
      <c r="C45" s="21"/>
      <c r="D45" s="21"/>
      <c r="E45" s="28"/>
      <c r="F45" s="28"/>
      <c r="G45" s="28"/>
      <c r="H45" s="28"/>
      <c r="I45" s="28"/>
    </row>
    <row r="46" spans="2:9" ht="21.75" customHeight="1">
      <c r="B46" s="21" t="s">
        <v>91</v>
      </c>
      <c r="C46" s="21"/>
      <c r="D46" s="21"/>
      <c r="E46" s="28"/>
      <c r="F46" s="28"/>
      <c r="G46" s="28"/>
      <c r="H46" s="28"/>
      <c r="I46" s="28"/>
    </row>
    <row r="47" spans="2:9" ht="21.75" customHeight="1">
      <c r="B47" s="21" t="s">
        <v>92</v>
      </c>
      <c r="C47" s="21"/>
      <c r="D47" s="21"/>
      <c r="E47" s="28"/>
      <c r="F47" s="28"/>
      <c r="G47" s="28"/>
      <c r="H47" s="28"/>
      <c r="I47" s="28"/>
    </row>
    <row r="48" spans="2:9" ht="21.75" customHeight="1">
      <c r="B48" s="31" t="s">
        <v>94</v>
      </c>
      <c r="C48" s="31"/>
      <c r="D48" s="31"/>
      <c r="E48" s="28"/>
      <c r="F48" s="28"/>
      <c r="G48" s="28"/>
      <c r="H48" s="28"/>
      <c r="I48" s="28"/>
    </row>
    <row r="49" spans="2:9" ht="21.75" customHeight="1">
      <c r="B49" s="21" t="s">
        <v>90</v>
      </c>
      <c r="C49" s="21"/>
      <c r="D49" s="21"/>
      <c r="E49" s="28"/>
      <c r="F49" s="28"/>
      <c r="G49" s="28"/>
      <c r="H49" s="28"/>
      <c r="I49" s="28"/>
    </row>
    <row r="50" spans="2:9" ht="21.75" customHeight="1">
      <c r="B50" s="21" t="s">
        <v>91</v>
      </c>
      <c r="C50" s="21"/>
      <c r="D50" s="21"/>
      <c r="E50" s="28"/>
      <c r="F50" s="28"/>
      <c r="G50" s="28"/>
      <c r="H50" s="28"/>
      <c r="I50" s="28"/>
    </row>
    <row r="51" spans="2:9" ht="21.75" customHeight="1">
      <c r="B51" s="21" t="s">
        <v>92</v>
      </c>
      <c r="C51" s="21"/>
      <c r="D51" s="21"/>
      <c r="E51" s="28"/>
      <c r="F51" s="28"/>
      <c r="G51" s="28"/>
      <c r="H51" s="28"/>
      <c r="I51" s="28"/>
    </row>
    <row r="52" spans="2:9" ht="21.75" customHeight="1">
      <c r="B52" s="31" t="s">
        <v>95</v>
      </c>
      <c r="C52" s="31"/>
      <c r="D52" s="31"/>
      <c r="E52" s="28"/>
      <c r="F52" s="28"/>
      <c r="G52" s="28"/>
      <c r="H52" s="28"/>
      <c r="I52" s="28"/>
    </row>
    <row r="53" spans="2:9" ht="21.75" customHeight="1">
      <c r="B53" s="21" t="s">
        <v>90</v>
      </c>
      <c r="C53" s="21"/>
      <c r="D53" s="21"/>
      <c r="E53" s="28"/>
      <c r="F53" s="28"/>
      <c r="G53" s="28"/>
      <c r="H53" s="28"/>
      <c r="I53" s="28"/>
    </row>
    <row r="54" spans="2:9" ht="21.75" customHeight="1">
      <c r="B54" s="21" t="s">
        <v>91</v>
      </c>
      <c r="C54" s="21"/>
      <c r="D54" s="21"/>
      <c r="E54" s="28"/>
      <c r="F54" s="28"/>
      <c r="G54" s="28"/>
      <c r="H54" s="28"/>
      <c r="I54" s="28"/>
    </row>
    <row r="55" spans="2:9" ht="21.75" customHeight="1">
      <c r="B55" s="21" t="s">
        <v>92</v>
      </c>
      <c r="C55" s="21"/>
      <c r="D55" s="21"/>
      <c r="E55" s="28"/>
      <c r="F55" s="28"/>
      <c r="G55" s="28"/>
      <c r="H55" s="28"/>
      <c r="I55" s="28"/>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18" customHeight="1">
      <c r="B60" s="20" t="s">
        <v>99</v>
      </c>
      <c r="C60" s="20"/>
      <c r="D60" s="20"/>
      <c r="E60" s="24" t="s">
        <v>100</v>
      </c>
      <c r="F60" s="24"/>
      <c r="G60" s="24"/>
      <c r="H60" s="24"/>
      <c r="I60" s="24"/>
    </row>
    <row r="61" spans="2:9" ht="18" customHeight="1">
      <c r="B61" s="20" t="s">
        <v>101</v>
      </c>
      <c r="C61" s="20"/>
      <c r="D61" s="20"/>
      <c r="E61" s="24" t="s">
        <v>102</v>
      </c>
      <c r="F61" s="24"/>
      <c r="G61" s="24"/>
      <c r="H61" s="24"/>
      <c r="I61" s="24"/>
    </row>
    <row r="62" spans="2:9" ht="18" customHeight="1">
      <c r="B62" s="20" t="s">
        <v>103</v>
      </c>
      <c r="C62" s="20"/>
      <c r="D62" s="20"/>
      <c r="E62" s="24" t="s">
        <v>104</v>
      </c>
      <c r="F62" s="24"/>
      <c r="G62" s="24"/>
      <c r="H62" s="24"/>
      <c r="I62" s="24"/>
    </row>
    <row r="63" spans="2:9" ht="18" customHeight="1">
      <c r="B63" s="20" t="s">
        <v>105</v>
      </c>
      <c r="C63" s="20"/>
      <c r="D63" s="20"/>
      <c r="E63" s="24" t="s">
        <v>106</v>
      </c>
      <c r="F63" s="24"/>
      <c r="G63" s="24"/>
      <c r="H63" s="24"/>
      <c r="I63" s="24"/>
    </row>
    <row r="64" spans="2:9" ht="18" customHeight="1">
      <c r="B64" s="20" t="s">
        <v>107</v>
      </c>
      <c r="C64" s="20"/>
      <c r="D64" s="20"/>
      <c r="E64" s="24" t="s">
        <v>108</v>
      </c>
      <c r="F64" s="24"/>
      <c r="G64" s="24"/>
      <c r="H64" s="24"/>
      <c r="I64" s="24"/>
    </row>
    <row r="66" spans="2:9" ht="18" customHeight="1">
      <c r="B66" s="23" t="s">
        <v>109</v>
      </c>
      <c r="C66" s="23"/>
      <c r="D66" s="23"/>
      <c r="E66" s="23"/>
      <c r="F66" s="23"/>
      <c r="G66" s="23"/>
      <c r="H66" s="23"/>
      <c r="I66" s="23"/>
    </row>
    <row r="67" spans="2:9" ht="18" customHeight="1">
      <c r="B67" s="20" t="s">
        <v>99</v>
      </c>
      <c r="C67" s="20"/>
      <c r="D67" s="20"/>
      <c r="E67" s="24" t="s">
        <v>100</v>
      </c>
      <c r="F67" s="24"/>
      <c r="G67" s="24"/>
      <c r="H67" s="24"/>
      <c r="I67" s="24"/>
    </row>
    <row r="68" spans="2:9" ht="18" customHeight="1">
      <c r="B68" s="20" t="s">
        <v>101</v>
      </c>
      <c r="C68" s="20"/>
      <c r="D68" s="20"/>
      <c r="E68" s="24" t="s">
        <v>102</v>
      </c>
      <c r="F68" s="24"/>
      <c r="G68" s="24"/>
      <c r="H68" s="24"/>
      <c r="I68" s="24"/>
    </row>
    <row r="69" spans="2:9" ht="18" customHeight="1">
      <c r="B69" s="20" t="s">
        <v>103</v>
      </c>
      <c r="C69" s="20"/>
      <c r="D69" s="20"/>
      <c r="E69" s="24" t="s">
        <v>104</v>
      </c>
      <c r="F69" s="24"/>
      <c r="G69" s="24"/>
      <c r="H69" s="24"/>
      <c r="I69" s="24"/>
    </row>
    <row r="70" spans="2:9" ht="18" customHeight="1">
      <c r="B70" s="20" t="s">
        <v>105</v>
      </c>
      <c r="C70" s="20"/>
      <c r="D70" s="20"/>
      <c r="E70" s="24" t="s">
        <v>106</v>
      </c>
      <c r="F70" s="24"/>
      <c r="G70" s="24"/>
      <c r="H70" s="24"/>
      <c r="I70" s="24"/>
    </row>
    <row r="71" spans="2:9" ht="18" customHeight="1">
      <c r="B71" s="20" t="s">
        <v>107</v>
      </c>
      <c r="C71" s="20"/>
      <c r="D71" s="20"/>
      <c r="E71" s="24" t="s">
        <v>108</v>
      </c>
      <c r="F71" s="24"/>
      <c r="G71" s="24"/>
      <c r="H71" s="24"/>
      <c r="I71" s="24"/>
    </row>
    <row r="73" spans="2:9" ht="18" customHeight="1">
      <c r="B73" s="23" t="s">
        <v>110</v>
      </c>
      <c r="C73" s="23"/>
      <c r="D73" s="23"/>
      <c r="E73" s="23"/>
      <c r="F73" s="23"/>
      <c r="G73" s="23"/>
      <c r="H73" s="23"/>
      <c r="I73" s="23"/>
    </row>
    <row r="74" spans="2:9" ht="18" customHeight="1">
      <c r="B74" s="20" t="s">
        <v>99</v>
      </c>
      <c r="C74" s="20"/>
      <c r="D74" s="20"/>
      <c r="E74" s="21" t="s">
        <v>100</v>
      </c>
      <c r="F74" s="21"/>
      <c r="G74" s="21"/>
      <c r="H74" s="21"/>
      <c r="I74" s="21"/>
    </row>
    <row r="75" spans="2:9" ht="18" customHeight="1">
      <c r="B75" s="20" t="s">
        <v>101</v>
      </c>
      <c r="C75" s="20"/>
      <c r="D75" s="20"/>
      <c r="E75" s="21" t="s">
        <v>102</v>
      </c>
      <c r="F75" s="21"/>
      <c r="G75" s="21"/>
      <c r="H75" s="21"/>
      <c r="I75" s="21"/>
    </row>
    <row r="76" spans="2:9" ht="18" customHeight="1">
      <c r="B76" s="20" t="s">
        <v>103</v>
      </c>
      <c r="C76" s="20"/>
      <c r="D76" s="20"/>
      <c r="E76" s="21" t="s">
        <v>104</v>
      </c>
      <c r="F76" s="21"/>
      <c r="G76" s="21"/>
      <c r="H76" s="21"/>
      <c r="I76" s="21"/>
    </row>
    <row r="77" spans="2:9" ht="18" customHeight="1">
      <c r="B77" s="20" t="s">
        <v>105</v>
      </c>
      <c r="C77" s="20"/>
      <c r="D77" s="20"/>
      <c r="E77" s="21" t="s">
        <v>106</v>
      </c>
      <c r="F77" s="21"/>
      <c r="G77" s="21"/>
      <c r="H77" s="21"/>
      <c r="I77" s="21"/>
    </row>
    <row r="78" spans="2:9" ht="18" customHeight="1">
      <c r="B78" s="20" t="s">
        <v>107</v>
      </c>
      <c r="C78" s="20"/>
      <c r="D78" s="20"/>
      <c r="E78" s="21" t="s">
        <v>108</v>
      </c>
      <c r="F78" s="21"/>
      <c r="G78" s="21"/>
      <c r="H78" s="21"/>
      <c r="I78" s="21"/>
    </row>
    <row r="80" spans="2:9" ht="18" customHeight="1">
      <c r="B80" s="23" t="s">
        <v>111</v>
      </c>
      <c r="C80" s="23"/>
      <c r="D80" s="23"/>
      <c r="E80" s="23"/>
      <c r="F80" s="23"/>
      <c r="G80" s="23"/>
      <c r="H80" s="23"/>
      <c r="I80" s="23"/>
    </row>
    <row r="81" spans="2:9" ht="18" customHeight="1">
      <c r="B81" s="20" t="s">
        <v>99</v>
      </c>
      <c r="C81" s="20"/>
      <c r="D81" s="20"/>
      <c r="E81" s="21" t="s">
        <v>100</v>
      </c>
      <c r="F81" s="21"/>
      <c r="G81" s="21"/>
      <c r="H81" s="21"/>
      <c r="I81" s="21"/>
    </row>
    <row r="82" spans="2:9" ht="18" customHeight="1">
      <c r="B82" s="20" t="s">
        <v>101</v>
      </c>
      <c r="C82" s="20"/>
      <c r="D82" s="20"/>
      <c r="E82" s="21" t="s">
        <v>102</v>
      </c>
      <c r="F82" s="21"/>
      <c r="G82" s="21"/>
      <c r="H82" s="21"/>
      <c r="I82" s="21"/>
    </row>
    <row r="83" spans="2:9" ht="18" customHeight="1">
      <c r="B83" s="20" t="s">
        <v>103</v>
      </c>
      <c r="C83" s="20"/>
      <c r="D83" s="20"/>
      <c r="E83" s="21" t="s">
        <v>104</v>
      </c>
      <c r="F83" s="21"/>
      <c r="G83" s="21"/>
      <c r="H83" s="21"/>
      <c r="I83" s="21"/>
    </row>
    <row r="84" spans="2:9" ht="18" customHeight="1">
      <c r="B84" s="20" t="s">
        <v>105</v>
      </c>
      <c r="C84" s="20"/>
      <c r="D84" s="20"/>
      <c r="E84" s="21" t="s">
        <v>106</v>
      </c>
      <c r="F84" s="21"/>
      <c r="G84" s="21"/>
      <c r="H84" s="21"/>
      <c r="I84" s="21"/>
    </row>
    <row r="85" spans="2:9" ht="18" customHeight="1">
      <c r="B85" s="20" t="s">
        <v>107</v>
      </c>
      <c r="C85" s="20"/>
      <c r="D85" s="20"/>
      <c r="E85" s="21" t="s">
        <v>108</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100</v>
      </c>
      <c r="F88" s="21"/>
      <c r="G88" s="21"/>
      <c r="H88" s="21"/>
      <c r="I88" s="21"/>
    </row>
    <row r="89" spans="2:9" ht="18" customHeight="1">
      <c r="B89" s="20" t="s">
        <v>101</v>
      </c>
      <c r="C89" s="20"/>
      <c r="D89" s="20"/>
      <c r="E89" s="21" t="s">
        <v>102</v>
      </c>
      <c r="F89" s="21"/>
      <c r="G89" s="21"/>
      <c r="H89" s="21"/>
      <c r="I89" s="21"/>
    </row>
    <row r="90" spans="2:9" ht="18" customHeight="1">
      <c r="B90" s="20" t="s">
        <v>103</v>
      </c>
      <c r="C90" s="20"/>
      <c r="D90" s="20"/>
      <c r="E90" s="21" t="s">
        <v>104</v>
      </c>
      <c r="F90" s="21"/>
      <c r="G90" s="21"/>
      <c r="H90" s="21"/>
      <c r="I90" s="21"/>
    </row>
    <row r="91" spans="2:9" ht="18" customHeight="1">
      <c r="B91" s="20" t="s">
        <v>105</v>
      </c>
      <c r="C91" s="20"/>
      <c r="D91" s="20"/>
      <c r="E91" s="21" t="s">
        <v>106</v>
      </c>
      <c r="F91" s="21"/>
      <c r="G91" s="21"/>
      <c r="H91" s="21"/>
      <c r="I91" s="21"/>
    </row>
    <row r="92" spans="2:9" ht="18" customHeight="1">
      <c r="B92" s="20" t="s">
        <v>107</v>
      </c>
      <c r="C92" s="20"/>
      <c r="D92" s="20"/>
      <c r="E92" s="21" t="s">
        <v>108</v>
      </c>
      <c r="F92" s="21"/>
      <c r="G92" s="21"/>
      <c r="H92" s="21"/>
      <c r="I92" s="21"/>
    </row>
    <row r="94" spans="2:9" ht="15.75" customHeight="1">
      <c r="B94" s="22" t="s">
        <v>121</v>
      </c>
      <c r="C94" s="22"/>
      <c r="D94" s="22"/>
      <c r="E94" s="22"/>
      <c r="F94" s="22"/>
      <c r="G94" s="22"/>
      <c r="H94" s="22"/>
      <c r="I94" s="22"/>
    </row>
  </sheetData>
  <mergeCells count="106">
    <mergeCell ref="B2:I2"/>
    <mergeCell ref="B3:I3"/>
    <mergeCell ref="B5:I5"/>
    <mergeCell ref="B6:I6"/>
    <mergeCell ref="B17:I17"/>
    <mergeCell ref="B18:I18"/>
    <mergeCell ref="D19:F19"/>
    <mergeCell ref="G19:H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B46:D46"/>
    <mergeCell ref="E46:I46"/>
    <mergeCell ref="B47:D47"/>
    <mergeCell ref="E47:I47"/>
    <mergeCell ref="B48:D48"/>
    <mergeCell ref="E48:I48"/>
    <mergeCell ref="B49:D49"/>
    <mergeCell ref="E49:I49"/>
    <mergeCell ref="B50:D50"/>
    <mergeCell ref="E50:I50"/>
    <mergeCell ref="B51:D51"/>
    <mergeCell ref="E51:I51"/>
    <mergeCell ref="B52:D52"/>
    <mergeCell ref="E52:I52"/>
    <mergeCell ref="B53:D53"/>
    <mergeCell ref="E53:I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94"/>
  <sheetViews>
    <sheetView showGridLines="0" topLeftCell="E69" zoomScaleNormal="100" workbookViewId="0">
      <selection activeCell="E71" sqref="E71"/>
    </sheetView>
  </sheetViews>
  <sheetFormatPr defaultColWidth="8.6640625" defaultRowHeight="14.4"/>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row r="2" spans="2:9" ht="33.75" customHeight="1">
      <c r="B2" s="41" t="s">
        <v>63</v>
      </c>
      <c r="C2" s="41"/>
      <c r="D2" s="41"/>
      <c r="E2" s="41"/>
      <c r="F2" s="41"/>
      <c r="G2" s="41"/>
      <c r="H2" s="41"/>
      <c r="I2" s="41"/>
    </row>
    <row r="3" spans="2:9" ht="15.75" customHeight="1">
      <c r="B3" s="42" t="s">
        <v>64</v>
      </c>
      <c r="C3" s="42"/>
      <c r="D3" s="42"/>
      <c r="E3" s="42"/>
      <c r="F3" s="42"/>
      <c r="G3" s="42"/>
      <c r="H3" s="42"/>
      <c r="I3" s="42"/>
    </row>
    <row r="5" spans="2:9" ht="21.75" customHeight="1">
      <c r="B5" s="43" t="s">
        <v>65</v>
      </c>
      <c r="C5" s="43"/>
      <c r="D5" s="43"/>
      <c r="E5" s="43"/>
      <c r="F5" s="43"/>
      <c r="G5" s="43"/>
      <c r="H5" s="43"/>
      <c r="I5" s="43"/>
    </row>
    <row r="6" spans="2:9" ht="13.5" customHeight="1">
      <c r="B6" s="30" t="s">
        <v>66</v>
      </c>
      <c r="C6" s="30"/>
      <c r="D6" s="30"/>
      <c r="E6" s="30"/>
      <c r="F6" s="30"/>
      <c r="G6" s="30"/>
      <c r="H6" s="30"/>
      <c r="I6" s="30"/>
    </row>
    <row r="7" spans="2:9" ht="19.5" customHeight="1">
      <c r="B7" s="5" t="s">
        <v>67</v>
      </c>
      <c r="C7" s="5" t="s">
        <v>68</v>
      </c>
      <c r="D7" s="5" t="s">
        <v>69</v>
      </c>
      <c r="E7" s="5" t="s">
        <v>70</v>
      </c>
      <c r="F7" s="5" t="s">
        <v>71</v>
      </c>
      <c r="G7" s="5" t="s">
        <v>72</v>
      </c>
      <c r="H7" s="5" t="s">
        <v>73</v>
      </c>
      <c r="I7" s="5" t="s">
        <v>74</v>
      </c>
    </row>
    <row r="8" spans="2:9" ht="18" customHeight="1">
      <c r="B8" s="4"/>
      <c r="C8" s="4"/>
      <c r="D8" s="4"/>
      <c r="E8" s="4"/>
      <c r="F8" s="4"/>
      <c r="G8" s="4"/>
      <c r="H8" s="4"/>
      <c r="I8" s="4"/>
    </row>
    <row r="9" spans="2:9" ht="18" customHeight="1">
      <c r="B9" s="4"/>
      <c r="C9" s="4"/>
      <c r="D9" s="4"/>
      <c r="E9" s="4"/>
      <c r="F9" s="4"/>
      <c r="G9" s="4"/>
      <c r="H9" s="4"/>
      <c r="I9" s="4"/>
    </row>
    <row r="10" spans="2:9" ht="18" customHeight="1">
      <c r="B10" s="4"/>
      <c r="C10" s="4"/>
      <c r="D10" s="4"/>
      <c r="E10" s="4"/>
      <c r="F10" s="4"/>
      <c r="G10" s="4"/>
      <c r="H10" s="4"/>
      <c r="I10" s="4"/>
    </row>
    <row r="11" spans="2:9" ht="18" customHeight="1">
      <c r="B11" s="4"/>
      <c r="C11" s="4"/>
      <c r="D11" s="4"/>
      <c r="E11" s="4"/>
      <c r="F11" s="4"/>
      <c r="G11" s="4"/>
      <c r="H11" s="4"/>
      <c r="I11" s="4"/>
    </row>
    <row r="12" spans="2:9" ht="18" customHeight="1">
      <c r="B12" s="4"/>
      <c r="C12" s="4"/>
      <c r="D12" s="4"/>
      <c r="E12" s="4"/>
      <c r="F12" s="4"/>
      <c r="G12" s="4"/>
      <c r="H12" s="4"/>
      <c r="I12" s="4"/>
    </row>
    <row r="13" spans="2:9" ht="18" customHeight="1">
      <c r="B13" s="4"/>
      <c r="C13" s="4"/>
      <c r="D13" s="4"/>
      <c r="E13" s="4"/>
      <c r="F13" s="4"/>
      <c r="G13" s="4"/>
      <c r="H13" s="4"/>
      <c r="I13" s="4"/>
    </row>
    <row r="14" spans="2:9" ht="18" customHeight="1">
      <c r="B14" s="4"/>
      <c r="C14" s="4"/>
      <c r="D14" s="4"/>
      <c r="E14" s="4"/>
      <c r="F14" s="4"/>
      <c r="G14" s="4"/>
      <c r="H14" s="4"/>
      <c r="I14" s="4"/>
    </row>
    <row r="15" spans="2:9" ht="18" customHeight="1">
      <c r="B15" s="4"/>
      <c r="C15" s="4"/>
      <c r="D15" s="4"/>
      <c r="E15" s="4"/>
      <c r="F15" s="4"/>
      <c r="G15" s="4"/>
      <c r="H15" s="4"/>
      <c r="I15" s="4"/>
    </row>
    <row r="17" spans="2:9" ht="21.75" customHeight="1">
      <c r="B17" s="44" t="s">
        <v>75</v>
      </c>
      <c r="C17" s="44"/>
      <c r="D17" s="44"/>
      <c r="E17" s="44"/>
      <c r="F17" s="44"/>
      <c r="G17" s="44"/>
      <c r="H17" s="44"/>
      <c r="I17" s="44"/>
    </row>
    <row r="18" spans="2:9" ht="13.5" customHeight="1">
      <c r="B18" s="30" t="s">
        <v>31</v>
      </c>
      <c r="C18" s="30"/>
      <c r="D18" s="30"/>
      <c r="E18" s="30"/>
      <c r="F18" s="30"/>
      <c r="G18" s="30"/>
      <c r="H18" s="30"/>
      <c r="I18" s="30"/>
    </row>
    <row r="19" spans="2:9" ht="19.5" customHeight="1">
      <c r="B19" s="2" t="s">
        <v>76</v>
      </c>
      <c r="C19" s="2" t="s">
        <v>68</v>
      </c>
      <c r="D19" s="45" t="s">
        <v>77</v>
      </c>
      <c r="E19" s="45"/>
      <c r="F19" s="45"/>
      <c r="G19" s="45" t="s">
        <v>78</v>
      </c>
      <c r="H19" s="45"/>
      <c r="I19" s="2" t="s">
        <v>48</v>
      </c>
    </row>
    <row r="20" spans="2:9" ht="15.75" customHeight="1">
      <c r="B20" s="32" t="s">
        <v>79</v>
      </c>
      <c r="C20" s="32"/>
      <c r="D20" s="32"/>
      <c r="E20" s="32"/>
      <c r="F20" s="32"/>
      <c r="G20" s="32"/>
      <c r="H20" s="32"/>
      <c r="I20" s="32"/>
    </row>
    <row r="21" spans="2:9" ht="18" customHeight="1">
      <c r="B21" s="4"/>
      <c r="C21" s="4"/>
      <c r="D21" s="4"/>
      <c r="E21" s="4"/>
      <c r="F21" s="4"/>
      <c r="G21" s="4"/>
      <c r="H21" s="4"/>
      <c r="I21" s="4"/>
    </row>
    <row r="22" spans="2:9" ht="18" customHeight="1">
      <c r="B22" s="4"/>
      <c r="C22" s="4"/>
      <c r="D22" s="4"/>
      <c r="E22" s="4"/>
      <c r="F22" s="4"/>
      <c r="G22" s="4"/>
      <c r="H22" s="4"/>
      <c r="I22" s="4"/>
    </row>
    <row r="23" spans="2:9" ht="18" customHeight="1">
      <c r="B23" s="4"/>
      <c r="C23" s="4"/>
      <c r="D23" s="4"/>
      <c r="E23" s="4"/>
      <c r="F23" s="4"/>
      <c r="G23" s="4"/>
      <c r="H23" s="4"/>
      <c r="I23" s="4"/>
    </row>
    <row r="24" spans="2:9" ht="15.75" customHeight="1">
      <c r="B24" s="32" t="s">
        <v>80</v>
      </c>
      <c r="C24" s="32"/>
      <c r="D24" s="32"/>
      <c r="E24" s="32"/>
      <c r="F24" s="32"/>
      <c r="G24" s="32"/>
      <c r="H24" s="32"/>
      <c r="I24" s="32"/>
    </row>
    <row r="25" spans="2:9" ht="18" customHeight="1">
      <c r="B25" s="4"/>
      <c r="C25" s="4"/>
      <c r="D25" s="4"/>
      <c r="E25" s="4"/>
      <c r="F25" s="4"/>
      <c r="G25" s="4"/>
      <c r="H25" s="4"/>
      <c r="I25" s="4"/>
    </row>
    <row r="26" spans="2:9" ht="18" customHeight="1">
      <c r="B26" s="4"/>
      <c r="C26" s="4"/>
      <c r="D26" s="4"/>
      <c r="E26" s="4"/>
      <c r="F26" s="4"/>
      <c r="G26" s="4"/>
      <c r="H26" s="4"/>
      <c r="I26" s="4"/>
    </row>
    <row r="27" spans="2:9" ht="18" customHeight="1">
      <c r="B27" s="4"/>
      <c r="C27" s="4"/>
      <c r="D27" s="4"/>
      <c r="E27" s="4"/>
      <c r="F27" s="4"/>
      <c r="G27" s="4"/>
      <c r="H27" s="4"/>
      <c r="I27" s="4"/>
    </row>
    <row r="28" spans="2:9" ht="15.75" customHeight="1">
      <c r="B28" s="32" t="s">
        <v>81</v>
      </c>
      <c r="C28" s="32"/>
      <c r="D28" s="32"/>
      <c r="E28" s="32"/>
      <c r="F28" s="32"/>
      <c r="G28" s="32"/>
      <c r="H28" s="32"/>
      <c r="I28" s="32"/>
    </row>
    <row r="29" spans="2:9" ht="18" customHeight="1">
      <c r="B29" s="4"/>
      <c r="C29" s="4"/>
      <c r="D29" s="4"/>
      <c r="E29" s="4"/>
      <c r="F29" s="4"/>
      <c r="G29" s="4"/>
      <c r="H29" s="4"/>
      <c r="I29" s="4"/>
    </row>
    <row r="30" spans="2:9" ht="18" customHeight="1">
      <c r="B30" s="4"/>
      <c r="C30" s="4"/>
      <c r="D30" s="4"/>
      <c r="E30" s="4"/>
      <c r="F30" s="4"/>
      <c r="G30" s="4"/>
      <c r="H30" s="4"/>
      <c r="I30" s="4"/>
    </row>
    <row r="31" spans="2:9" ht="18" customHeight="1">
      <c r="B31" s="4"/>
      <c r="C31" s="4"/>
      <c r="D31" s="4"/>
      <c r="E31" s="4"/>
      <c r="F31" s="4"/>
      <c r="G31" s="4"/>
      <c r="H31" s="4"/>
      <c r="I31" s="4"/>
    </row>
    <row r="32" spans="2:9" ht="15.75" customHeight="1">
      <c r="B32" s="32" t="s">
        <v>82</v>
      </c>
      <c r="C32" s="32"/>
      <c r="D32" s="32"/>
      <c r="E32" s="32"/>
      <c r="F32" s="32"/>
      <c r="G32" s="32"/>
      <c r="H32" s="32"/>
      <c r="I32" s="32"/>
    </row>
    <row r="33" spans="2:9" ht="18" customHeight="1">
      <c r="B33" s="4"/>
      <c r="C33" s="4"/>
      <c r="D33" s="4"/>
      <c r="E33" s="4"/>
      <c r="F33" s="4"/>
      <c r="G33" s="4"/>
      <c r="H33" s="4"/>
      <c r="I33" s="4"/>
    </row>
    <row r="34" spans="2:9" ht="18" customHeight="1">
      <c r="B34" s="4"/>
      <c r="C34" s="4"/>
      <c r="D34" s="4"/>
      <c r="E34" s="4"/>
      <c r="F34" s="4"/>
      <c r="G34" s="4"/>
      <c r="H34" s="4"/>
      <c r="I34" s="4"/>
    </row>
    <row r="35" spans="2:9" ht="18" customHeight="1">
      <c r="B35" s="4"/>
      <c r="C35" s="4"/>
      <c r="D35" s="4"/>
      <c r="E35" s="4"/>
      <c r="F35" s="4"/>
      <c r="G35" s="4"/>
      <c r="H35" s="4"/>
      <c r="I35" s="4"/>
    </row>
    <row r="37" spans="2:9" ht="21.75" customHeight="1">
      <c r="B37" s="33" t="s">
        <v>83</v>
      </c>
      <c r="C37" s="33"/>
      <c r="D37" s="33"/>
      <c r="E37" s="33"/>
      <c r="F37" s="33"/>
      <c r="G37" s="33"/>
      <c r="H37" s="33"/>
      <c r="I37" s="33"/>
    </row>
    <row r="38" spans="2:9" ht="13.5" customHeight="1">
      <c r="B38" s="30" t="s">
        <v>84</v>
      </c>
      <c r="C38" s="30"/>
      <c r="D38" s="30"/>
      <c r="E38" s="30"/>
      <c r="F38" s="30"/>
      <c r="G38" s="30"/>
      <c r="H38" s="30"/>
      <c r="I38" s="30"/>
    </row>
    <row r="39" spans="2:9" ht="19.5" customHeight="1">
      <c r="B39" s="1" t="s">
        <v>85</v>
      </c>
      <c r="C39" s="1" t="s">
        <v>86</v>
      </c>
      <c r="D39" s="1" t="s">
        <v>87</v>
      </c>
      <c r="E39" s="34" t="s">
        <v>88</v>
      </c>
      <c r="F39" s="34"/>
      <c r="G39" s="34"/>
      <c r="H39" s="34"/>
      <c r="I39" s="34"/>
    </row>
    <row r="40" spans="2:9" ht="21.75" customHeight="1">
      <c r="B40" s="31" t="s">
        <v>89</v>
      </c>
      <c r="C40" s="31"/>
      <c r="D40" s="31"/>
      <c r="E40" s="28"/>
      <c r="F40" s="28"/>
      <c r="G40" s="28"/>
      <c r="H40" s="28"/>
      <c r="I40" s="28"/>
    </row>
    <row r="41" spans="2:9" ht="21.75" customHeight="1">
      <c r="B41" s="21" t="s">
        <v>90</v>
      </c>
      <c r="C41" s="21"/>
      <c r="D41" s="21"/>
      <c r="E41" s="28"/>
      <c r="F41" s="28"/>
      <c r="G41" s="28"/>
      <c r="H41" s="28"/>
      <c r="I41" s="28"/>
    </row>
    <row r="42" spans="2:9" ht="21.75" customHeight="1">
      <c r="B42" s="21" t="s">
        <v>91</v>
      </c>
      <c r="C42" s="21"/>
      <c r="D42" s="21"/>
      <c r="E42" s="28"/>
      <c r="F42" s="28"/>
      <c r="G42" s="28"/>
      <c r="H42" s="28"/>
      <c r="I42" s="28"/>
    </row>
    <row r="43" spans="2:9" ht="21.75" customHeight="1">
      <c r="B43" s="21" t="s">
        <v>92</v>
      </c>
      <c r="C43" s="21"/>
      <c r="D43" s="21"/>
      <c r="E43" s="28"/>
      <c r="F43" s="28"/>
      <c r="G43" s="28"/>
      <c r="H43" s="28"/>
      <c r="I43" s="28"/>
    </row>
    <row r="44" spans="2:9" ht="21.75" customHeight="1">
      <c r="B44" s="31" t="s">
        <v>93</v>
      </c>
      <c r="C44" s="31"/>
      <c r="D44" s="31"/>
      <c r="E44" s="28"/>
      <c r="F44" s="28"/>
      <c r="G44" s="28"/>
      <c r="H44" s="28"/>
      <c r="I44" s="28"/>
    </row>
    <row r="45" spans="2:9" ht="21.75" customHeight="1">
      <c r="B45" s="21" t="s">
        <v>90</v>
      </c>
      <c r="C45" s="21"/>
      <c r="D45" s="21"/>
      <c r="E45" s="28"/>
      <c r="F45" s="28"/>
      <c r="G45" s="28"/>
      <c r="H45" s="28"/>
      <c r="I45" s="28"/>
    </row>
    <row r="46" spans="2:9" ht="21.75" customHeight="1">
      <c r="B46" s="21" t="s">
        <v>91</v>
      </c>
      <c r="C46" s="21"/>
      <c r="D46" s="21"/>
      <c r="E46" s="28"/>
      <c r="F46" s="28"/>
      <c r="G46" s="28"/>
      <c r="H46" s="28"/>
      <c r="I46" s="28"/>
    </row>
    <row r="47" spans="2:9" ht="21.75" customHeight="1">
      <c r="B47" s="21" t="s">
        <v>92</v>
      </c>
      <c r="C47" s="21"/>
      <c r="D47" s="21"/>
      <c r="E47" s="28"/>
      <c r="F47" s="28"/>
      <c r="G47" s="28"/>
      <c r="H47" s="28"/>
      <c r="I47" s="28"/>
    </row>
    <row r="48" spans="2:9" ht="21.75" customHeight="1">
      <c r="B48" s="31" t="s">
        <v>94</v>
      </c>
      <c r="C48" s="31"/>
      <c r="D48" s="31"/>
      <c r="E48" s="28"/>
      <c r="F48" s="28"/>
      <c r="G48" s="28"/>
      <c r="H48" s="28"/>
      <c r="I48" s="28"/>
    </row>
    <row r="49" spans="2:9" ht="21.75" customHeight="1">
      <c r="B49" s="21" t="s">
        <v>90</v>
      </c>
      <c r="C49" s="21"/>
      <c r="D49" s="21"/>
      <c r="E49" s="28"/>
      <c r="F49" s="28"/>
      <c r="G49" s="28"/>
      <c r="H49" s="28"/>
      <c r="I49" s="28"/>
    </row>
    <row r="50" spans="2:9" ht="21.75" customHeight="1">
      <c r="B50" s="21" t="s">
        <v>91</v>
      </c>
      <c r="C50" s="21"/>
      <c r="D50" s="21"/>
      <c r="E50" s="28"/>
      <c r="F50" s="28"/>
      <c r="G50" s="28"/>
      <c r="H50" s="28"/>
      <c r="I50" s="28"/>
    </row>
    <row r="51" spans="2:9" ht="21.75" customHeight="1">
      <c r="B51" s="21" t="s">
        <v>92</v>
      </c>
      <c r="C51" s="21"/>
      <c r="D51" s="21"/>
      <c r="E51" s="28"/>
      <c r="F51" s="28"/>
      <c r="G51" s="28"/>
      <c r="H51" s="28"/>
      <c r="I51" s="28"/>
    </row>
    <row r="52" spans="2:9" ht="21.75" customHeight="1">
      <c r="B52" s="31" t="s">
        <v>95</v>
      </c>
      <c r="C52" s="31"/>
      <c r="D52" s="31"/>
      <c r="E52" s="28"/>
      <c r="F52" s="28"/>
      <c r="G52" s="28"/>
      <c r="H52" s="28"/>
      <c r="I52" s="28"/>
    </row>
    <row r="53" spans="2:9" ht="21.75" customHeight="1">
      <c r="B53" s="21" t="s">
        <v>90</v>
      </c>
      <c r="C53" s="21"/>
      <c r="D53" s="21"/>
      <c r="E53" s="28"/>
      <c r="F53" s="28"/>
      <c r="G53" s="28"/>
      <c r="H53" s="28"/>
      <c r="I53" s="28"/>
    </row>
    <row r="54" spans="2:9" ht="21.75" customHeight="1">
      <c r="B54" s="21" t="s">
        <v>91</v>
      </c>
      <c r="C54" s="21"/>
      <c r="D54" s="21"/>
      <c r="E54" s="28"/>
      <c r="F54" s="28"/>
      <c r="G54" s="28"/>
      <c r="H54" s="28"/>
      <c r="I54" s="28"/>
    </row>
    <row r="55" spans="2:9" ht="21.75" customHeight="1">
      <c r="B55" s="21" t="s">
        <v>92</v>
      </c>
      <c r="C55" s="21"/>
      <c r="D55" s="21"/>
      <c r="E55" s="28"/>
      <c r="F55" s="28"/>
      <c r="G55" s="28"/>
      <c r="H55" s="28"/>
      <c r="I55" s="28"/>
    </row>
    <row r="56" spans="2:9">
      <c r="E56" s="28"/>
      <c r="F56" s="28"/>
      <c r="G56" s="28"/>
      <c r="H56" s="28"/>
      <c r="I56" s="28"/>
    </row>
    <row r="57" spans="2:9" ht="21.75" customHeight="1">
      <c r="B57" s="29" t="s">
        <v>96</v>
      </c>
      <c r="C57" s="29"/>
      <c r="D57" s="29"/>
      <c r="E57" s="29"/>
      <c r="F57" s="29"/>
      <c r="G57" s="29"/>
      <c r="H57" s="29"/>
      <c r="I57" s="29"/>
    </row>
    <row r="58" spans="2:9" ht="13.5" customHeight="1">
      <c r="B58" s="30" t="s">
        <v>97</v>
      </c>
      <c r="C58" s="30"/>
      <c r="D58" s="30"/>
      <c r="E58" s="30"/>
      <c r="F58" s="30"/>
      <c r="G58" s="30"/>
      <c r="H58" s="30"/>
      <c r="I58" s="30"/>
    </row>
    <row r="59" spans="2:9" ht="18" customHeight="1">
      <c r="B59" s="23" t="s">
        <v>98</v>
      </c>
      <c r="C59" s="23"/>
      <c r="D59" s="23"/>
      <c r="E59" s="23"/>
      <c r="F59" s="23"/>
      <c r="G59" s="23"/>
      <c r="H59" s="23"/>
      <c r="I59" s="23"/>
    </row>
    <row r="60" spans="2:9" ht="18" customHeight="1">
      <c r="B60" s="20" t="s">
        <v>99</v>
      </c>
      <c r="C60" s="20"/>
      <c r="D60" s="20"/>
      <c r="E60" s="24" t="s">
        <v>100</v>
      </c>
      <c r="F60" s="24"/>
      <c r="G60" s="24"/>
      <c r="H60" s="24"/>
      <c r="I60" s="24"/>
    </row>
    <row r="61" spans="2:9" ht="18" customHeight="1">
      <c r="B61" s="20" t="s">
        <v>101</v>
      </c>
      <c r="C61" s="20"/>
      <c r="D61" s="20"/>
      <c r="E61" s="24" t="s">
        <v>102</v>
      </c>
      <c r="F61" s="24"/>
      <c r="G61" s="24"/>
      <c r="H61" s="24"/>
      <c r="I61" s="24"/>
    </row>
    <row r="62" spans="2:9" ht="18" customHeight="1">
      <c r="B62" s="20" t="s">
        <v>103</v>
      </c>
      <c r="C62" s="20"/>
      <c r="D62" s="20"/>
      <c r="E62" s="24" t="s">
        <v>104</v>
      </c>
      <c r="F62" s="24"/>
      <c r="G62" s="24"/>
      <c r="H62" s="24"/>
      <c r="I62" s="24"/>
    </row>
    <row r="63" spans="2:9" ht="18" customHeight="1">
      <c r="B63" s="20" t="s">
        <v>105</v>
      </c>
      <c r="C63" s="20"/>
      <c r="D63" s="20"/>
      <c r="E63" s="24" t="s">
        <v>106</v>
      </c>
      <c r="F63" s="24"/>
      <c r="G63" s="24"/>
      <c r="H63" s="24"/>
      <c r="I63" s="24"/>
    </row>
    <row r="64" spans="2:9" ht="18" customHeight="1">
      <c r="B64" s="20" t="s">
        <v>107</v>
      </c>
      <c r="C64" s="20"/>
      <c r="D64" s="20"/>
      <c r="E64" s="24" t="s">
        <v>108</v>
      </c>
      <c r="F64" s="24"/>
      <c r="G64" s="24"/>
      <c r="H64" s="24"/>
      <c r="I64" s="24"/>
    </row>
    <row r="66" spans="2:9" ht="18" customHeight="1">
      <c r="B66" s="23" t="s">
        <v>109</v>
      </c>
      <c r="C66" s="23"/>
      <c r="D66" s="23"/>
      <c r="E66" s="23"/>
      <c r="F66" s="23"/>
      <c r="G66" s="23"/>
      <c r="H66" s="23"/>
      <c r="I66" s="23"/>
    </row>
    <row r="67" spans="2:9" ht="18" customHeight="1">
      <c r="B67" s="20" t="s">
        <v>99</v>
      </c>
      <c r="C67" s="20"/>
      <c r="D67" s="20"/>
      <c r="E67" s="24" t="s">
        <v>100</v>
      </c>
      <c r="F67" s="24"/>
      <c r="G67" s="24"/>
      <c r="H67" s="24"/>
      <c r="I67" s="24"/>
    </row>
    <row r="68" spans="2:9" ht="18" customHeight="1">
      <c r="B68" s="20" t="s">
        <v>101</v>
      </c>
      <c r="C68" s="20"/>
      <c r="D68" s="20"/>
      <c r="E68" s="24" t="s">
        <v>102</v>
      </c>
      <c r="F68" s="24"/>
      <c r="G68" s="24"/>
      <c r="H68" s="24"/>
      <c r="I68" s="24"/>
    </row>
    <row r="69" spans="2:9" ht="18" customHeight="1">
      <c r="B69" s="20" t="s">
        <v>103</v>
      </c>
      <c r="C69" s="20"/>
      <c r="D69" s="20"/>
      <c r="E69" s="24" t="s">
        <v>104</v>
      </c>
      <c r="F69" s="24"/>
      <c r="G69" s="24"/>
      <c r="H69" s="24"/>
      <c r="I69" s="24"/>
    </row>
    <row r="70" spans="2:9" ht="18" customHeight="1">
      <c r="B70" s="20" t="s">
        <v>105</v>
      </c>
      <c r="C70" s="20"/>
      <c r="D70" s="20"/>
      <c r="E70" s="24" t="s">
        <v>106</v>
      </c>
      <c r="F70" s="24"/>
      <c r="G70" s="24"/>
      <c r="H70" s="24"/>
      <c r="I70" s="24"/>
    </row>
    <row r="71" spans="2:9" ht="18" customHeight="1">
      <c r="B71" s="20" t="s">
        <v>107</v>
      </c>
      <c r="C71" s="20"/>
      <c r="D71" s="20"/>
      <c r="E71" s="24" t="s">
        <v>108</v>
      </c>
      <c r="F71" s="24"/>
      <c r="G71" s="24"/>
      <c r="H71" s="24"/>
      <c r="I71" s="24"/>
    </row>
    <row r="73" spans="2:9" ht="18" customHeight="1">
      <c r="B73" s="23" t="s">
        <v>110</v>
      </c>
      <c r="C73" s="23"/>
      <c r="D73" s="23"/>
      <c r="E73" s="23"/>
      <c r="F73" s="23"/>
      <c r="G73" s="23"/>
      <c r="H73" s="23"/>
      <c r="I73" s="23"/>
    </row>
    <row r="74" spans="2:9" ht="18" customHeight="1">
      <c r="B74" s="20" t="s">
        <v>99</v>
      </c>
      <c r="C74" s="20"/>
      <c r="D74" s="20"/>
      <c r="E74" s="21" t="s">
        <v>100</v>
      </c>
      <c r="F74" s="21"/>
      <c r="G74" s="21"/>
      <c r="H74" s="21"/>
      <c r="I74" s="21"/>
    </row>
    <row r="75" spans="2:9" ht="18" customHeight="1">
      <c r="B75" s="20" t="s">
        <v>101</v>
      </c>
      <c r="C75" s="20"/>
      <c r="D75" s="20"/>
      <c r="E75" s="21" t="s">
        <v>102</v>
      </c>
      <c r="F75" s="21"/>
      <c r="G75" s="21"/>
      <c r="H75" s="21"/>
      <c r="I75" s="21"/>
    </row>
    <row r="76" spans="2:9" ht="18" customHeight="1">
      <c r="B76" s="20" t="s">
        <v>103</v>
      </c>
      <c r="C76" s="20"/>
      <c r="D76" s="20"/>
      <c r="E76" s="21" t="s">
        <v>104</v>
      </c>
      <c r="F76" s="21"/>
      <c r="G76" s="21"/>
      <c r="H76" s="21"/>
      <c r="I76" s="21"/>
    </row>
    <row r="77" spans="2:9" ht="18" customHeight="1">
      <c r="B77" s="20" t="s">
        <v>105</v>
      </c>
      <c r="C77" s="20"/>
      <c r="D77" s="20"/>
      <c r="E77" s="21" t="s">
        <v>106</v>
      </c>
      <c r="F77" s="21"/>
      <c r="G77" s="21"/>
      <c r="H77" s="21"/>
      <c r="I77" s="21"/>
    </row>
    <row r="78" spans="2:9" ht="18" customHeight="1">
      <c r="B78" s="20" t="s">
        <v>107</v>
      </c>
      <c r="C78" s="20"/>
      <c r="D78" s="20"/>
      <c r="E78" s="21" t="s">
        <v>108</v>
      </c>
      <c r="F78" s="21"/>
      <c r="G78" s="21"/>
      <c r="H78" s="21"/>
      <c r="I78" s="21"/>
    </row>
    <row r="80" spans="2:9" ht="18" customHeight="1">
      <c r="B80" s="23" t="s">
        <v>111</v>
      </c>
      <c r="C80" s="23"/>
      <c r="D80" s="23"/>
      <c r="E80" s="23"/>
      <c r="F80" s="23"/>
      <c r="G80" s="23"/>
      <c r="H80" s="23"/>
      <c r="I80" s="23"/>
    </row>
    <row r="81" spans="2:9" ht="18" customHeight="1">
      <c r="B81" s="20" t="s">
        <v>99</v>
      </c>
      <c r="C81" s="20"/>
      <c r="D81" s="20"/>
      <c r="E81" s="21" t="s">
        <v>100</v>
      </c>
      <c r="F81" s="21"/>
      <c r="G81" s="21"/>
      <c r="H81" s="21"/>
      <c r="I81" s="21"/>
    </row>
    <row r="82" spans="2:9" ht="18" customHeight="1">
      <c r="B82" s="20" t="s">
        <v>101</v>
      </c>
      <c r="C82" s="20"/>
      <c r="D82" s="20"/>
      <c r="E82" s="21" t="s">
        <v>102</v>
      </c>
      <c r="F82" s="21"/>
      <c r="G82" s="21"/>
      <c r="H82" s="21"/>
      <c r="I82" s="21"/>
    </row>
    <row r="83" spans="2:9" ht="18" customHeight="1">
      <c r="B83" s="20" t="s">
        <v>103</v>
      </c>
      <c r="C83" s="20"/>
      <c r="D83" s="20"/>
      <c r="E83" s="21" t="s">
        <v>104</v>
      </c>
      <c r="F83" s="21"/>
      <c r="G83" s="21"/>
      <c r="H83" s="21"/>
      <c r="I83" s="21"/>
    </row>
    <row r="84" spans="2:9" ht="18" customHeight="1">
      <c r="B84" s="20" t="s">
        <v>105</v>
      </c>
      <c r="C84" s="20"/>
      <c r="D84" s="20"/>
      <c r="E84" s="21" t="s">
        <v>106</v>
      </c>
      <c r="F84" s="21"/>
      <c r="G84" s="21"/>
      <c r="H84" s="21"/>
      <c r="I84" s="21"/>
    </row>
    <row r="85" spans="2:9" ht="18" customHeight="1">
      <c r="B85" s="20" t="s">
        <v>107</v>
      </c>
      <c r="C85" s="20"/>
      <c r="D85" s="20"/>
      <c r="E85" s="21" t="s">
        <v>108</v>
      </c>
      <c r="F85" s="21"/>
      <c r="G85" s="21"/>
      <c r="H85" s="21"/>
      <c r="I85" s="21"/>
    </row>
    <row r="87" spans="2:9" ht="18" customHeight="1">
      <c r="B87" s="23" t="s">
        <v>112</v>
      </c>
      <c r="C87" s="23"/>
      <c r="D87" s="23"/>
      <c r="E87" s="23"/>
      <c r="F87" s="23"/>
      <c r="G87" s="23"/>
      <c r="H87" s="23"/>
      <c r="I87" s="23"/>
    </row>
    <row r="88" spans="2:9" ht="18" customHeight="1">
      <c r="B88" s="20" t="s">
        <v>99</v>
      </c>
      <c r="C88" s="20"/>
      <c r="D88" s="20"/>
      <c r="E88" s="21" t="s">
        <v>100</v>
      </c>
      <c r="F88" s="21"/>
      <c r="G88" s="21"/>
      <c r="H88" s="21"/>
      <c r="I88" s="21"/>
    </row>
    <row r="89" spans="2:9" ht="18" customHeight="1">
      <c r="B89" s="20" t="s">
        <v>101</v>
      </c>
      <c r="C89" s="20"/>
      <c r="D89" s="20"/>
      <c r="E89" s="21" t="s">
        <v>102</v>
      </c>
      <c r="F89" s="21"/>
      <c r="G89" s="21"/>
      <c r="H89" s="21"/>
      <c r="I89" s="21"/>
    </row>
    <row r="90" spans="2:9" ht="18" customHeight="1">
      <c r="B90" s="20" t="s">
        <v>103</v>
      </c>
      <c r="C90" s="20"/>
      <c r="D90" s="20"/>
      <c r="E90" s="21" t="s">
        <v>104</v>
      </c>
      <c r="F90" s="21"/>
      <c r="G90" s="21"/>
      <c r="H90" s="21"/>
      <c r="I90" s="21"/>
    </row>
    <row r="91" spans="2:9" ht="18" customHeight="1">
      <c r="B91" s="20" t="s">
        <v>105</v>
      </c>
      <c r="C91" s="20"/>
      <c r="D91" s="20"/>
      <c r="E91" s="21" t="s">
        <v>106</v>
      </c>
      <c r="F91" s="21"/>
      <c r="G91" s="21"/>
      <c r="H91" s="21"/>
      <c r="I91" s="21"/>
    </row>
    <row r="92" spans="2:9" ht="18" customHeight="1">
      <c r="B92" s="20" t="s">
        <v>107</v>
      </c>
      <c r="C92" s="20"/>
      <c r="D92" s="20"/>
      <c r="E92" s="21" t="s">
        <v>108</v>
      </c>
      <c r="F92" s="21"/>
      <c r="G92" s="21"/>
      <c r="H92" s="21"/>
      <c r="I92" s="21"/>
    </row>
    <row r="94" spans="2:9" ht="15.75" customHeight="1">
      <c r="B94" s="22" t="s">
        <v>122</v>
      </c>
      <c r="C94" s="22"/>
      <c r="D94" s="22"/>
      <c r="E94" s="22"/>
      <c r="F94" s="22"/>
      <c r="G94" s="22"/>
      <c r="H94" s="22"/>
      <c r="I94" s="22"/>
    </row>
  </sheetData>
  <mergeCells count="106">
    <mergeCell ref="B2:I2"/>
    <mergeCell ref="B3:I3"/>
    <mergeCell ref="B5:I5"/>
    <mergeCell ref="B6:I6"/>
    <mergeCell ref="B17:I17"/>
    <mergeCell ref="B18:I18"/>
    <mergeCell ref="D19:F19"/>
    <mergeCell ref="G19:H19"/>
    <mergeCell ref="B20:I20"/>
    <mergeCell ref="B24:I24"/>
    <mergeCell ref="B28:I28"/>
    <mergeCell ref="B32:I32"/>
    <mergeCell ref="B37:I37"/>
    <mergeCell ref="B38:I38"/>
    <mergeCell ref="E39:I39"/>
    <mergeCell ref="B40:D40"/>
    <mergeCell ref="E40:I40"/>
    <mergeCell ref="B41:D41"/>
    <mergeCell ref="E41:I41"/>
    <mergeCell ref="B42:D42"/>
    <mergeCell ref="E42:I42"/>
    <mergeCell ref="B43:D43"/>
    <mergeCell ref="E43:I43"/>
    <mergeCell ref="B44:D44"/>
    <mergeCell ref="E44:I44"/>
    <mergeCell ref="B45:D45"/>
    <mergeCell ref="E45:I45"/>
    <mergeCell ref="B46:D46"/>
    <mergeCell ref="E46:I46"/>
    <mergeCell ref="B47:D47"/>
    <mergeCell ref="E47:I47"/>
    <mergeCell ref="B48:D48"/>
    <mergeCell ref="E48:I48"/>
    <mergeCell ref="B49:D49"/>
    <mergeCell ref="E49:I49"/>
    <mergeCell ref="B50:D50"/>
    <mergeCell ref="E50:I50"/>
    <mergeCell ref="B51:D51"/>
    <mergeCell ref="E51:I51"/>
    <mergeCell ref="B52:D52"/>
    <mergeCell ref="E52:I52"/>
    <mergeCell ref="B53:D53"/>
    <mergeCell ref="E53:I53"/>
    <mergeCell ref="B54:D54"/>
    <mergeCell ref="E54:I54"/>
    <mergeCell ref="B55:D55"/>
    <mergeCell ref="E55:I55"/>
    <mergeCell ref="E56:I56"/>
    <mergeCell ref="B57:I57"/>
    <mergeCell ref="B58:I58"/>
    <mergeCell ref="B59:I59"/>
    <mergeCell ref="B60:D60"/>
    <mergeCell ref="E60:I60"/>
    <mergeCell ref="B61:D61"/>
    <mergeCell ref="E61:I61"/>
    <mergeCell ref="B62:D62"/>
    <mergeCell ref="E62:I62"/>
    <mergeCell ref="B63:D63"/>
    <mergeCell ref="E63:I63"/>
    <mergeCell ref="B64:D64"/>
    <mergeCell ref="E64:I64"/>
    <mergeCell ref="B66:I66"/>
    <mergeCell ref="B67:D67"/>
    <mergeCell ref="E67:I67"/>
    <mergeCell ref="B68:D68"/>
    <mergeCell ref="E68:I68"/>
    <mergeCell ref="B69:D69"/>
    <mergeCell ref="E69:I69"/>
    <mergeCell ref="B70:D70"/>
    <mergeCell ref="E70:I70"/>
    <mergeCell ref="B71:D71"/>
    <mergeCell ref="E71:I71"/>
    <mergeCell ref="B73:I73"/>
    <mergeCell ref="B74:D74"/>
    <mergeCell ref="E74:I74"/>
    <mergeCell ref="B75:D75"/>
    <mergeCell ref="E75:I75"/>
    <mergeCell ref="B76:D76"/>
    <mergeCell ref="E76:I76"/>
    <mergeCell ref="B77:D77"/>
    <mergeCell ref="E77:I77"/>
    <mergeCell ref="B78:D78"/>
    <mergeCell ref="E78:I78"/>
    <mergeCell ref="B80:I80"/>
    <mergeCell ref="B81:D81"/>
    <mergeCell ref="E81:I81"/>
    <mergeCell ref="B82:D82"/>
    <mergeCell ref="E82:I82"/>
    <mergeCell ref="B83:D83"/>
    <mergeCell ref="E83:I83"/>
    <mergeCell ref="B84:D84"/>
    <mergeCell ref="E84:I84"/>
    <mergeCell ref="B85:D85"/>
    <mergeCell ref="E85:I85"/>
    <mergeCell ref="B92:D92"/>
    <mergeCell ref="E92:I92"/>
    <mergeCell ref="B94:I94"/>
    <mergeCell ref="B87:I87"/>
    <mergeCell ref="B88:D88"/>
    <mergeCell ref="E88:I88"/>
    <mergeCell ref="B89:D89"/>
    <mergeCell ref="E89:I89"/>
    <mergeCell ref="B90:D90"/>
    <mergeCell ref="E90:I90"/>
    <mergeCell ref="B91:D91"/>
    <mergeCell ref="E91:I9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22"/>
  <sheetViews>
    <sheetView showGridLines="0" topLeftCell="A7" zoomScaleNormal="100" workbookViewId="0">
      <selection activeCell="D26" sqref="D26"/>
    </sheetView>
  </sheetViews>
  <sheetFormatPr defaultColWidth="8.6640625" defaultRowHeight="14.4"/>
  <cols>
    <col min="1" max="1" width="3" customWidth="1"/>
    <col min="2" max="2" width="12" customWidth="1"/>
    <col min="3" max="6" width="16" customWidth="1"/>
    <col min="7" max="11" width="13" customWidth="1"/>
  </cols>
  <sheetData>
    <row r="1" spans="2:12" ht="13.5" customHeight="1"/>
    <row r="2" spans="2:12" ht="33.75" customHeight="1">
      <c r="B2" s="41" t="s">
        <v>123</v>
      </c>
      <c r="C2" s="41"/>
      <c r="D2" s="41"/>
      <c r="E2" s="41"/>
      <c r="F2" s="41"/>
      <c r="G2" s="41"/>
      <c r="H2" s="41"/>
      <c r="I2" s="41"/>
      <c r="J2" s="41"/>
      <c r="K2" s="41"/>
      <c r="L2" s="41"/>
    </row>
    <row r="4" spans="2:12" ht="19.5" customHeight="1">
      <c r="B4" s="43" t="s">
        <v>124</v>
      </c>
      <c r="C4" s="43"/>
      <c r="D4" s="43"/>
      <c r="E4" s="43"/>
      <c r="F4" s="43"/>
      <c r="G4" s="43"/>
      <c r="H4" s="43"/>
      <c r="I4" s="43"/>
      <c r="J4" s="43"/>
      <c r="K4" s="43"/>
      <c r="L4" s="43"/>
    </row>
    <row r="5" spans="2:12" ht="19.5" customHeight="1">
      <c r="B5" s="5" t="s">
        <v>125</v>
      </c>
      <c r="C5" s="5" t="s">
        <v>126</v>
      </c>
      <c r="D5" s="5" t="s">
        <v>127</v>
      </c>
      <c r="E5" s="5" t="s">
        <v>128</v>
      </c>
      <c r="F5" s="5" t="s">
        <v>129</v>
      </c>
      <c r="G5" s="5" t="s">
        <v>130</v>
      </c>
      <c r="H5" s="5" t="s">
        <v>131</v>
      </c>
      <c r="I5" s="5" t="s">
        <v>132</v>
      </c>
      <c r="J5" s="5" t="s">
        <v>133</v>
      </c>
      <c r="K5" s="5" t="s">
        <v>134</v>
      </c>
      <c r="L5" s="5" t="s">
        <v>48</v>
      </c>
    </row>
    <row r="6" spans="2:12" ht="18" customHeight="1">
      <c r="B6" s="8" t="s">
        <v>135</v>
      </c>
      <c r="C6" s="8">
        <f>COUNTIF(Week_01!$C$8:$C$15,"A")</f>
        <v>1</v>
      </c>
      <c r="D6" s="8">
        <f>COUNTIF(Week_01!$C$8:$C$15,"B")</f>
        <v>1</v>
      </c>
      <c r="E6" s="8">
        <f>COUNTIF(Week_01!$C$8:$C$15,"C")</f>
        <v>1</v>
      </c>
      <c r="F6" s="8">
        <f>COUNTIF(Week_01!$C$8:$C$15,"D")</f>
        <v>1</v>
      </c>
      <c r="G6" s="8">
        <f>COUNTIF(Week_01!$C$8:$C$15,"E")</f>
        <v>1</v>
      </c>
      <c r="H6" s="8">
        <f t="shared" ref="H6:H15" si="0">SUM(C6:G6)</f>
        <v>5</v>
      </c>
      <c r="I6" s="8">
        <f>COUNTIF(Week_01!$G$8:$G$15,"Low")</f>
        <v>2</v>
      </c>
      <c r="J6" s="8">
        <f>COUNTIF(Week_01!$G$8:$G$15,"Medium")</f>
        <v>2</v>
      </c>
      <c r="K6" s="8">
        <f>COUNTIF(Week_01!$G$8:$G$15,"High")</f>
        <v>1</v>
      </c>
      <c r="L6" s="8"/>
    </row>
    <row r="7" spans="2:12" ht="18" customHeight="1">
      <c r="B7" s="8" t="s">
        <v>136</v>
      </c>
      <c r="C7" s="8">
        <f>COUNTIF(Week_02!$C$8:$C$15,"A")</f>
        <v>2</v>
      </c>
      <c r="D7" s="8">
        <f>COUNTIF(Week_02!$C$8:$C$15,"B")</f>
        <v>1</v>
      </c>
      <c r="E7" s="8">
        <f>COUNTIF(Week_02!$C$8:$C$15,"C")</f>
        <v>1</v>
      </c>
      <c r="F7" s="8">
        <f>COUNTIF(Week_02!$C$8:$C$15,"D")</f>
        <v>1</v>
      </c>
      <c r="G7" s="8">
        <f>COUNTIF(Week_02!$C$8:$C$15,"E")</f>
        <v>0</v>
      </c>
      <c r="H7" s="8">
        <f t="shared" si="0"/>
        <v>5</v>
      </c>
      <c r="I7" s="8">
        <f>COUNTIF(Week_02!$G$8:$G$15,"Low")</f>
        <v>2</v>
      </c>
      <c r="J7" s="8">
        <f>COUNTIF(Week_02!$G$8:$G$15,"Medium")</f>
        <v>2</v>
      </c>
      <c r="K7" s="8">
        <f>COUNTIF(Week_02!$G$8:$G$15,"High")</f>
        <v>1</v>
      </c>
      <c r="L7" s="8"/>
    </row>
    <row r="8" spans="2:12" ht="18" customHeight="1">
      <c r="B8" s="8" t="s">
        <v>137</v>
      </c>
      <c r="C8" s="8">
        <f>COUNTIF(Week_03!$C$8:$C$15,"A")</f>
        <v>1</v>
      </c>
      <c r="D8" s="8">
        <f>COUNTIF(Week_03!$C$8:$C$15,"B")</f>
        <v>1</v>
      </c>
      <c r="E8" s="8">
        <f>COUNTIF(Week_03!$C$8:$C$15,"C")</f>
        <v>1</v>
      </c>
      <c r="F8" s="8">
        <f>COUNTIF(Week_03!$C$8:$C$15,"D")</f>
        <v>1</v>
      </c>
      <c r="G8" s="8">
        <f>COUNTIF(Week_03!$C$8:$C$15,"E")</f>
        <v>0</v>
      </c>
      <c r="H8" s="8">
        <f t="shared" si="0"/>
        <v>4</v>
      </c>
      <c r="I8" s="8">
        <f>COUNTIF(Week_03!$G$8:$G$15,"Low")</f>
        <v>1</v>
      </c>
      <c r="J8" s="8">
        <f>COUNTIF(Week_03!$G$8:$G$15,"Medium")</f>
        <v>2</v>
      </c>
      <c r="K8" s="8">
        <f>COUNTIF(Week_03!$G$8:$G$15,"High")</f>
        <v>1</v>
      </c>
      <c r="L8" s="8"/>
    </row>
    <row r="9" spans="2:12" ht="18" customHeight="1">
      <c r="B9" s="8" t="s">
        <v>138</v>
      </c>
      <c r="C9" s="8">
        <f>COUNTIF(Week_04!$C$8:$C$15,"A")</f>
        <v>0</v>
      </c>
      <c r="D9" s="8">
        <f>COUNTIF(Week_04!$C$8:$C$15,"B")</f>
        <v>0</v>
      </c>
      <c r="E9" s="8">
        <f>COUNTIF(Week_04!$C$8:$C$15,"C")</f>
        <v>0</v>
      </c>
      <c r="F9" s="8">
        <f>COUNTIF(Week_04!$C$8:$C$15,"D")</f>
        <v>0</v>
      </c>
      <c r="G9" s="8">
        <f>COUNTIF(Week_04!$C$8:$C$15,"E")</f>
        <v>0</v>
      </c>
      <c r="H9" s="8">
        <f t="shared" si="0"/>
        <v>0</v>
      </c>
      <c r="I9" s="8">
        <f>COUNTIF(Week_04!$G$8:$G$15,"Low")</f>
        <v>0</v>
      </c>
      <c r="J9" s="8">
        <f>COUNTIF(Week_04!$G$8:$G$15,"Medium")</f>
        <v>0</v>
      </c>
      <c r="K9" s="8">
        <f>COUNTIF(Week_04!$G$8:$G$15,"High")</f>
        <v>0</v>
      </c>
      <c r="L9" s="8"/>
    </row>
    <row r="10" spans="2:12" ht="18" customHeight="1">
      <c r="B10" s="8" t="s">
        <v>139</v>
      </c>
      <c r="C10" s="8">
        <f>COUNTIF(Week_05!$C$8:$C$15,"A")</f>
        <v>0</v>
      </c>
      <c r="D10" s="8">
        <f>COUNTIF(Week_05!$C$8:$C$15,"B")</f>
        <v>0</v>
      </c>
      <c r="E10" s="8">
        <f>COUNTIF(Week_05!$C$8:$C$15,"C")</f>
        <v>0</v>
      </c>
      <c r="F10" s="8">
        <f>COUNTIF(Week_05!$C$8:$C$15,"D")</f>
        <v>0</v>
      </c>
      <c r="G10" s="8">
        <f>COUNTIF(Week_05!$C$8:$C$15,"E")</f>
        <v>0</v>
      </c>
      <c r="H10" s="8">
        <f t="shared" si="0"/>
        <v>0</v>
      </c>
      <c r="I10" s="8">
        <f>COUNTIF(Week_05!$G$8:$G$15,"Low")</f>
        <v>0</v>
      </c>
      <c r="J10" s="8">
        <f>COUNTIF(Week_05!$G$8:$G$15,"Medium")</f>
        <v>0</v>
      </c>
      <c r="K10" s="8">
        <f>COUNTIF(Week_05!$G$8:$G$15,"High")</f>
        <v>0</v>
      </c>
      <c r="L10" s="8"/>
    </row>
    <row r="11" spans="2:12" ht="18" customHeight="1">
      <c r="B11" s="8" t="s">
        <v>140</v>
      </c>
      <c r="C11" s="8">
        <f>COUNTIF(Week_06!$C$8:$C$15,"A")</f>
        <v>0</v>
      </c>
      <c r="D11" s="8">
        <f>COUNTIF(Week_06!$C$8:$C$15,"B")</f>
        <v>0</v>
      </c>
      <c r="E11" s="8">
        <f>COUNTIF(Week_06!$C$8:$C$15,"C")</f>
        <v>0</v>
      </c>
      <c r="F11" s="8">
        <f>COUNTIF(Week_06!$C$8:$C$15,"D")</f>
        <v>0</v>
      </c>
      <c r="G11" s="8">
        <f>COUNTIF(Week_06!$C$8:$C$15,"E")</f>
        <v>0</v>
      </c>
      <c r="H11" s="8">
        <f t="shared" si="0"/>
        <v>0</v>
      </c>
      <c r="I11" s="8">
        <f>COUNTIF(Week_06!$G$8:$G$15,"Low")</f>
        <v>0</v>
      </c>
      <c r="J11" s="8">
        <f>COUNTIF(Week_06!$G$8:$G$15,"Medium")</f>
        <v>0</v>
      </c>
      <c r="K11" s="8">
        <f>COUNTIF(Week_06!$G$8:$G$15,"High")</f>
        <v>0</v>
      </c>
      <c r="L11" s="8"/>
    </row>
    <row r="12" spans="2:12" ht="18" customHeight="1">
      <c r="B12" s="8" t="s">
        <v>141</v>
      </c>
      <c r="C12" s="8">
        <f>COUNTIF(Week_07!$C$8:$C$15,"A")</f>
        <v>0</v>
      </c>
      <c r="D12" s="8">
        <f>COUNTIF(Week_07!$C$8:$C$15,"B")</f>
        <v>0</v>
      </c>
      <c r="E12" s="8">
        <f>COUNTIF(Week_07!$C$8:$C$15,"C")</f>
        <v>0</v>
      </c>
      <c r="F12" s="8">
        <f>COUNTIF(Week_07!$C$8:$C$15,"D")</f>
        <v>0</v>
      </c>
      <c r="G12" s="8">
        <f>COUNTIF(Week_07!$C$8:$C$15,"E")</f>
        <v>0</v>
      </c>
      <c r="H12" s="8">
        <f t="shared" si="0"/>
        <v>0</v>
      </c>
      <c r="I12" s="8">
        <f>COUNTIF(Week_07!$G$8:$G$15,"Low")</f>
        <v>0</v>
      </c>
      <c r="J12" s="8">
        <f>COUNTIF(Week_07!$G$8:$G$15,"Medium")</f>
        <v>0</v>
      </c>
      <c r="K12" s="8">
        <f>COUNTIF(Week_07!$G$8:$G$15,"High")</f>
        <v>0</v>
      </c>
      <c r="L12" s="8"/>
    </row>
    <row r="13" spans="2:12" ht="18" customHeight="1">
      <c r="B13" s="8" t="s">
        <v>142</v>
      </c>
      <c r="C13" s="8">
        <f>COUNTIF(Week_08!$C$8:$C$15,"A")</f>
        <v>0</v>
      </c>
      <c r="D13" s="8">
        <f>COUNTIF(Week_08!$C$8:$C$15,"B")</f>
        <v>0</v>
      </c>
      <c r="E13" s="8">
        <f>COUNTIF(Week_08!$C$8:$C$15,"C")</f>
        <v>0</v>
      </c>
      <c r="F13" s="8">
        <f>COUNTIF(Week_08!$C$8:$C$15,"D")</f>
        <v>0</v>
      </c>
      <c r="G13" s="8">
        <f>COUNTIF(Week_08!$C$8:$C$15,"E")</f>
        <v>0</v>
      </c>
      <c r="H13" s="8">
        <f t="shared" si="0"/>
        <v>0</v>
      </c>
      <c r="I13" s="8">
        <f>COUNTIF(Week_08!$G$8:$G$15,"Low")</f>
        <v>0</v>
      </c>
      <c r="J13" s="8">
        <f>COUNTIF(Week_08!$G$8:$G$15,"Medium")</f>
        <v>0</v>
      </c>
      <c r="K13" s="8">
        <f>COUNTIF(Week_08!$G$8:$G$15,"High")</f>
        <v>0</v>
      </c>
      <c r="L13" s="8"/>
    </row>
    <row r="14" spans="2:12" ht="18" customHeight="1">
      <c r="B14" s="8" t="s">
        <v>143</v>
      </c>
      <c r="C14" s="8">
        <f>COUNTIF(Week_09!$C$8:$C$15,"A")</f>
        <v>0</v>
      </c>
      <c r="D14" s="8">
        <f>COUNTIF(Week_09!$C$8:$C$15,"B")</f>
        <v>0</v>
      </c>
      <c r="E14" s="8">
        <f>COUNTIF(Week_09!$C$8:$C$15,"C")</f>
        <v>0</v>
      </c>
      <c r="F14" s="8">
        <f>COUNTIF(Week_09!$C$8:$C$15,"D")</f>
        <v>0</v>
      </c>
      <c r="G14" s="8">
        <f>COUNTIF(Week_09!$C$8:$C$15,"E")</f>
        <v>0</v>
      </c>
      <c r="H14" s="8">
        <f t="shared" si="0"/>
        <v>0</v>
      </c>
      <c r="I14" s="8">
        <f>COUNTIF(Week_09!$G$8:$G$15,"Low")</f>
        <v>0</v>
      </c>
      <c r="J14" s="8">
        <f>COUNTIF(Week_09!$G$8:$G$15,"Medium")</f>
        <v>0</v>
      </c>
      <c r="K14" s="8">
        <f>COUNTIF(Week_09!$G$8:$G$15,"High")</f>
        <v>0</v>
      </c>
      <c r="L14" s="8"/>
    </row>
    <row r="15" spans="2:12" ht="18" customHeight="1">
      <c r="B15" s="8" t="s">
        <v>144</v>
      </c>
      <c r="C15" s="8">
        <f>COUNTIF(Week_10!$C$8:$C$15,"A")</f>
        <v>0</v>
      </c>
      <c r="D15" s="8">
        <f>COUNTIF(Week_10!$C$8:$C$15,"B")</f>
        <v>0</v>
      </c>
      <c r="E15" s="8">
        <f>COUNTIF(Week_10!$C$8:$C$15,"C")</f>
        <v>0</v>
      </c>
      <c r="F15" s="8">
        <f>COUNTIF(Week_10!$C$8:$C$15,"D")</f>
        <v>0</v>
      </c>
      <c r="G15" s="8">
        <f>COUNTIF(Week_10!$C$8:$C$15,"E")</f>
        <v>0</v>
      </c>
      <c r="H15" s="8">
        <f t="shared" si="0"/>
        <v>0</v>
      </c>
      <c r="I15" s="8">
        <f>COUNTIF(Week_10!$G$8:$G$15,"Low")</f>
        <v>0</v>
      </c>
      <c r="J15" s="8">
        <f>COUNTIF(Week_10!$G$8:$G$15,"Medium")</f>
        <v>0</v>
      </c>
      <c r="K15" s="8">
        <f>COUNTIF(Week_10!$G$8:$G$15,"High")</f>
        <v>0</v>
      </c>
      <c r="L15" s="8"/>
    </row>
    <row r="16" spans="2:12" ht="19.5" customHeight="1">
      <c r="B16" s="5" t="s">
        <v>145</v>
      </c>
      <c r="C16" s="5">
        <f t="shared" ref="C16:K16" si="1">SUM(C6:C15)</f>
        <v>4</v>
      </c>
      <c r="D16" s="5">
        <f t="shared" si="1"/>
        <v>3</v>
      </c>
      <c r="E16" s="5">
        <f t="shared" si="1"/>
        <v>3</v>
      </c>
      <c r="F16" s="5">
        <f t="shared" si="1"/>
        <v>3</v>
      </c>
      <c r="G16" s="5">
        <f t="shared" si="1"/>
        <v>1</v>
      </c>
      <c r="H16" s="5">
        <f t="shared" si="1"/>
        <v>14</v>
      </c>
      <c r="I16" s="5">
        <f t="shared" si="1"/>
        <v>5</v>
      </c>
      <c r="J16" s="5">
        <f t="shared" si="1"/>
        <v>6</v>
      </c>
      <c r="K16" s="5">
        <f t="shared" si="1"/>
        <v>3</v>
      </c>
      <c r="L16" s="5"/>
    </row>
    <row r="18" spans="2:12" ht="19.5" customHeight="1">
      <c r="B18" s="29" t="s">
        <v>146</v>
      </c>
      <c r="C18" s="29"/>
      <c r="D18" s="29"/>
      <c r="E18" s="29"/>
      <c r="F18" s="29"/>
      <c r="G18" s="29"/>
      <c r="H18" s="29"/>
      <c r="I18" s="29"/>
      <c r="J18" s="29"/>
      <c r="K18" s="29"/>
      <c r="L18" s="29"/>
    </row>
    <row r="19" spans="2:12" ht="21.75" customHeight="1">
      <c r="B19" s="56" t="s">
        <v>147</v>
      </c>
      <c r="C19" s="56"/>
      <c r="D19" s="56"/>
      <c r="E19" s="28"/>
      <c r="F19" s="28"/>
      <c r="G19" s="28"/>
      <c r="H19" s="28"/>
      <c r="I19" s="28"/>
      <c r="J19" s="28"/>
      <c r="K19" s="28"/>
      <c r="L19" s="28"/>
    </row>
    <row r="20" spans="2:12" ht="21.75" customHeight="1">
      <c r="B20" s="56" t="s">
        <v>148</v>
      </c>
      <c r="C20" s="56"/>
      <c r="D20" s="56"/>
      <c r="E20" s="28"/>
      <c r="F20" s="28"/>
      <c r="G20" s="28"/>
      <c r="H20" s="28"/>
      <c r="I20" s="28"/>
      <c r="J20" s="28"/>
      <c r="K20" s="28"/>
      <c r="L20" s="28"/>
    </row>
    <row r="21" spans="2:12" ht="21.75" customHeight="1">
      <c r="B21" s="56" t="s">
        <v>149</v>
      </c>
      <c r="C21" s="56"/>
      <c r="D21" s="56"/>
      <c r="E21" s="28"/>
      <c r="F21" s="28"/>
      <c r="G21" s="28"/>
      <c r="H21" s="28"/>
      <c r="I21" s="28"/>
      <c r="J21" s="28"/>
      <c r="K21" s="28"/>
      <c r="L21" s="28"/>
    </row>
    <row r="22" spans="2:12" ht="32.25" customHeight="1">
      <c r="B22" s="56" t="s">
        <v>150</v>
      </c>
      <c r="C22" s="56"/>
      <c r="D22" s="56"/>
      <c r="E22" s="28"/>
      <c r="F22" s="28"/>
      <c r="G22" s="28"/>
      <c r="H22" s="28"/>
      <c r="I22" s="28"/>
      <c r="J22" s="28"/>
      <c r="K22" s="28"/>
      <c r="L22" s="28"/>
    </row>
  </sheetData>
  <mergeCells count="11">
    <mergeCell ref="B2:L2"/>
    <mergeCell ref="B4:L4"/>
    <mergeCell ref="B18:L18"/>
    <mergeCell ref="B19:D19"/>
    <mergeCell ref="E19:L19"/>
    <mergeCell ref="B20:D20"/>
    <mergeCell ref="E20:L20"/>
    <mergeCell ref="B21:D21"/>
    <mergeCell ref="E21:L21"/>
    <mergeCell ref="B22:D22"/>
    <mergeCell ref="E22:L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Hướng dẫn</vt:lpstr>
      <vt:lpstr>Thông tin nhóm</vt:lpstr>
      <vt:lpstr>Week_01</vt:lpstr>
      <vt:lpstr>Week_02</vt:lpstr>
      <vt:lpstr>Week_03</vt:lpstr>
      <vt:lpstr>Week_04</vt:lpstr>
      <vt:lpstr>Week_05</vt:lpstr>
      <vt:lpstr>Week_06</vt:lpstr>
      <vt:lpstr>Week_07</vt:lpstr>
      <vt:lpstr>Week_08</vt:lpstr>
      <vt:lpstr>Week_09</vt:lpstr>
      <vt:lpstr>Week_10</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Hương Đặng</cp:lastModifiedBy>
  <cp:revision>0</cp:revision>
  <dcterms:created xsi:type="dcterms:W3CDTF">2026-05-29T14:09:10Z</dcterms:created>
  <dcterms:modified xsi:type="dcterms:W3CDTF">2026-06-24T07:12:28Z</dcterms:modified>
  <dc:language>en-US</dc:language>
</cp:coreProperties>
</file>